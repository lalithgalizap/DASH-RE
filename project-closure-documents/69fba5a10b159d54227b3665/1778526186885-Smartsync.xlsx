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useelaNookala\Downloads\"/>
    </mc:Choice>
  </mc:AlternateContent>
  <xr:revisionPtr revIDLastSave="0" documentId="13_ncr:1_{546B71D8-8346-4E9B-84E4-A7A7FE3DD8E5}" xr6:coauthVersionLast="47" xr6:coauthVersionMax="47" xr10:uidLastSave="{00000000-0000-0000-0000-000000000000}"/>
  <bookViews>
    <workbookView xWindow="-110" yWindow="-110" windowWidth="19420" windowHeight="10300" tabRatio="604" firstSheet="2" activeTab="6" xr2:uid="{00000000-000D-0000-FFFF-FFFF00000000}"/>
  </bookViews>
  <sheets>
    <sheet name="Project Cover Sheet" sheetId="1" r:id="rId1"/>
    <sheet name="Project Charter" sheetId="5" r:id="rId2"/>
    <sheet name="Project Plan" sheetId="15" r:id="rId3"/>
    <sheet name="Milestone Tracker" sheetId="16" r:id="rId4"/>
    <sheet name="RAID Log" sheetId="7" r:id="rId5"/>
    <sheet name="Risk Register" sheetId="6" r:id="rId6"/>
    <sheet name="Stakeholder Register" sheetId="8" r:id="rId7"/>
    <sheet name="PM_Lists" sheetId="9" state="hidden" r:id="rId8"/>
    <sheet name="Governance &amp; Cadences" sheetId="10" r:id="rId9"/>
    <sheet name="RACI Matrix" sheetId="12" r:id="rId10"/>
    <sheet name="Change Management Plan" sheetId="14" r:id="rId11"/>
    <sheet name="Resource Management Plan" sheetId="11" r:id="rId12"/>
    <sheet name="Resource Availability" sheetId="13" r:id="rId13"/>
  </sheets>
  <definedNames>
    <definedName name="_xlnm._FilterDatabase" localSheetId="2" hidden="1">'Project Plan'!$A$1:$V$201</definedName>
    <definedName name="_xlnm._FilterDatabase" localSheetId="12" hidden="1">'Resource Availability'!$A$1:$K$28</definedName>
    <definedName name="AvailabilityStatus">PM_Lists!$K$2:$K$5</definedName>
    <definedName name="CadenceType">PM_Lists!$A$2:$A$6</definedName>
    <definedName name="ChangeStatus">PM_Lists!$G$2:$G$8</definedName>
    <definedName name="Criticality">PM_Lists!$E$2:$E$5</definedName>
    <definedName name="Decision">PM_Lists!$H$2:$H$5</definedName>
    <definedName name="Frequency">PM_Lists!$B$2:$B$8</definedName>
    <definedName name="GenericStatus">PM_Lists!$C$2:$C$5</definedName>
    <definedName name="HTML_CodePage" hidden="1">1252</definedName>
    <definedName name="HTML_Control" localSheetId="5" hidden="1">{"'Cost Price'!$A$1:$F$144"}</definedName>
    <definedName name="HTML_Control" hidden="1">{"'Cost Price'!$A$1:$F$144"}</definedName>
    <definedName name="HTML_Description" hidden="1">""</definedName>
    <definedName name="HTML_Email" hidden="1">""</definedName>
    <definedName name="HTML_Header" hidden="1">"Cost Price"</definedName>
    <definedName name="HTML_LastUpdate" hidden="1">"5/20/99"</definedName>
    <definedName name="HTML_LineAfter" hidden="1">FALSE()</definedName>
    <definedName name="HTML_LineBefore" hidden="1">FALSE()</definedName>
    <definedName name="HTML_Name" hidden="1">"Y"</definedName>
    <definedName name="HTML_OBDlg2" hidden="1">TRUE()</definedName>
    <definedName name="HTML_OBDlg4" hidden="1">TRUE()</definedName>
    <definedName name="HTML_OS" hidden="1">0</definedName>
    <definedName name="HTML_PathFile" hidden="1">"C:\My Documents\MyHTML.htm"</definedName>
    <definedName name="HTML_Title" hidden="1">"BR 000 Database"</definedName>
    <definedName name="ImpactLevel">PM_Lists!$J$2:$J$4</definedName>
    <definedName name="_xlnm.Print_Area" localSheetId="0">'Project Cover Sheet'!$A$1:$L$25</definedName>
    <definedName name="_xlnm.Print_Area" localSheetId="5">'Risk Register'!$A$1:$Q$17</definedName>
    <definedName name="_xlnm.Print_Titles" localSheetId="5">'Risk Register'!$1:$1</definedName>
    <definedName name="Priority">PM_Lists!$F$2:$F$5</definedName>
    <definedName name="ResourceStatus">PM_Lists!$D$2:$D$6</definedName>
    <definedName name="sp" localSheetId="5" hidden="1">{"'Cost Price'!$A$1:$F$144"}</definedName>
    <definedName name="sp" hidden="1">{"'Cost Price'!$A$1:$F$144"}</definedName>
    <definedName name="UnavailabilityType">PM_Lists!$I$2:$I$7</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5" l="1"/>
  <c r="V4" i="15"/>
  <c r="V5" i="15"/>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 i="15"/>
  <c r="A28" i="15"/>
  <c r="A27" i="15"/>
  <c r="A26" i="15"/>
  <c r="A25" i="15"/>
  <c r="A24" i="15"/>
  <c r="A23" i="15"/>
  <c r="A22" i="15"/>
  <c r="A21" i="15"/>
  <c r="A20" i="15"/>
  <c r="A19" i="15"/>
  <c r="A18" i="15"/>
  <c r="A17" i="15"/>
  <c r="A16" i="15"/>
  <c r="A15" i="15"/>
  <c r="A14" i="15"/>
  <c r="A13" i="15"/>
  <c r="A12" i="15"/>
  <c r="A11" i="15"/>
  <c r="A10" i="15"/>
  <c r="A9" i="15"/>
  <c r="A8" i="15"/>
  <c r="K24" i="15"/>
  <c r="K23" i="15"/>
  <c r="K22" i="15"/>
  <c r="K21" i="15"/>
  <c r="K20" i="15"/>
  <c r="K19" i="15"/>
  <c r="K18" i="15"/>
  <c r="K17" i="15"/>
  <c r="K16" i="15"/>
  <c r="K15" i="15"/>
  <c r="K14" i="15"/>
  <c r="K13" i="15"/>
  <c r="K12" i="15"/>
  <c r="K11" i="15"/>
  <c r="K10" i="15"/>
  <c r="K9" i="15"/>
  <c r="K8" i="15"/>
  <c r="A24" i="13"/>
  <c r="A25" i="13"/>
  <c r="A26" i="13"/>
  <c r="A27" i="13"/>
  <c r="A28" i="13"/>
  <c r="A12" i="13"/>
  <c r="A13" i="13"/>
  <c r="A14" i="13"/>
  <c r="A15" i="13"/>
  <c r="A16" i="13"/>
  <c r="A17" i="13"/>
  <c r="A18" i="13"/>
  <c r="A19" i="13"/>
  <c r="A20" i="13"/>
  <c r="A21" i="13"/>
  <c r="A22" i="13"/>
  <c r="A23" i="13"/>
  <c r="A3" i="13"/>
  <c r="A4" i="13"/>
  <c r="A2" i="13"/>
  <c r="M15" i="11"/>
  <c r="M12" i="11"/>
  <c r="S38" i="7"/>
  <c r="S24" i="15" l="1"/>
  <c r="T24" i="15"/>
  <c r="S23" i="15"/>
  <c r="T23" i="15"/>
  <c r="S22" i="15"/>
  <c r="T22" i="15"/>
  <c r="S21" i="15"/>
  <c r="T21" i="15"/>
  <c r="S20" i="15"/>
  <c r="T20" i="15"/>
  <c r="S19" i="15"/>
  <c r="T19" i="15"/>
  <c r="S18" i="15"/>
  <c r="T18" i="15"/>
  <c r="S17" i="15"/>
  <c r="T17" i="15"/>
  <c r="S16" i="15"/>
  <c r="T16" i="15"/>
  <c r="S15" i="15"/>
  <c r="T15" i="15"/>
  <c r="S14" i="15"/>
  <c r="T14" i="15"/>
  <c r="S13" i="15"/>
  <c r="T13" i="15"/>
  <c r="S12" i="15"/>
  <c r="T12" i="15"/>
  <c r="S11" i="15"/>
  <c r="T11" i="15"/>
  <c r="S10" i="15"/>
  <c r="T10" i="15"/>
  <c r="S9" i="15"/>
  <c r="T9" i="15"/>
  <c r="S8" i="15"/>
  <c r="T8" i="15"/>
  <c r="K2" i="15"/>
  <c r="K3" i="15"/>
  <c r="K4" i="15"/>
  <c r="K5" i="15"/>
  <c r="K6" i="15"/>
  <c r="K7" i="15"/>
  <c r="A2" i="15"/>
  <c r="S2" i="15" s="1"/>
  <c r="A3" i="15"/>
  <c r="S3" i="15" s="1"/>
  <c r="A4" i="15"/>
  <c r="S4" i="15" s="1"/>
  <c r="A5" i="15"/>
  <c r="S5" i="15" s="1"/>
  <c r="A6" i="15"/>
  <c r="S6" i="15" s="1"/>
  <c r="A7" i="15"/>
  <c r="S7" i="15" s="1"/>
  <c r="A29" i="15"/>
  <c r="A30" i="15"/>
  <c r="A31" i="15"/>
  <c r="A32" i="15"/>
  <c r="A33" i="15"/>
  <c r="A34" i="15"/>
  <c r="A35" i="15"/>
  <c r="A36" i="15"/>
  <c r="A37" i="15"/>
  <c r="A38" i="15"/>
  <c r="A39" i="15"/>
  <c r="A40" i="15"/>
  <c r="A41" i="15"/>
  <c r="A42" i="15"/>
  <c r="A43" i="15"/>
  <c r="A44" i="15"/>
  <c r="A45" i="15"/>
  <c r="A46" i="15"/>
  <c r="A47" i="15"/>
  <c r="A48" i="15"/>
  <c r="A49" i="15"/>
  <c r="A50" i="15"/>
  <c r="A51" i="15"/>
  <c r="S39" i="7"/>
  <c r="S40" i="7"/>
  <c r="S41" i="7"/>
  <c r="S42" i="7"/>
  <c r="S43" i="7"/>
  <c r="S44" i="7"/>
  <c r="J4" i="5"/>
  <c r="J3" i="5"/>
  <c r="J2" i="5"/>
  <c r="F4" i="5"/>
  <c r="I8" i="1"/>
  <c r="F3" i="5" s="1"/>
  <c r="F2" i="5"/>
  <c r="A1" i="5"/>
  <c r="B4" i="5"/>
  <c r="B3" i="5"/>
  <c r="B2" i="5"/>
  <c r="K201" i="15"/>
  <c r="A201" i="15"/>
  <c r="K200" i="15"/>
  <c r="A200" i="15"/>
  <c r="K199" i="15"/>
  <c r="A199" i="15"/>
  <c r="K198" i="15"/>
  <c r="A198" i="15"/>
  <c r="K197" i="15"/>
  <c r="A197" i="15"/>
  <c r="K196" i="15"/>
  <c r="A196" i="15"/>
  <c r="K195" i="15"/>
  <c r="A195" i="15"/>
  <c r="K194" i="15"/>
  <c r="A194" i="15"/>
  <c r="K193" i="15"/>
  <c r="A193" i="15"/>
  <c r="S193" i="15" s="1"/>
  <c r="K192" i="15"/>
  <c r="A192" i="15"/>
  <c r="K191" i="15"/>
  <c r="A191" i="15"/>
  <c r="S191" i="15" s="1"/>
  <c r="K190" i="15"/>
  <c r="A190" i="15"/>
  <c r="K189" i="15"/>
  <c r="A189" i="15"/>
  <c r="K188" i="15"/>
  <c r="A188" i="15"/>
  <c r="T188" i="15" s="1"/>
  <c r="K187" i="15"/>
  <c r="A187" i="15"/>
  <c r="K186" i="15"/>
  <c r="A186" i="15"/>
  <c r="K185" i="15"/>
  <c r="A185" i="15"/>
  <c r="K184" i="15"/>
  <c r="A184" i="15"/>
  <c r="K183" i="15"/>
  <c r="A183" i="15"/>
  <c r="K182" i="15"/>
  <c r="A182" i="15"/>
  <c r="K181" i="15"/>
  <c r="A181" i="15"/>
  <c r="K180" i="15"/>
  <c r="A180" i="15"/>
  <c r="K179" i="15"/>
  <c r="A179" i="15"/>
  <c r="K178" i="15"/>
  <c r="A178" i="15"/>
  <c r="K177" i="15"/>
  <c r="A177" i="15"/>
  <c r="S177" i="15" s="1"/>
  <c r="K176" i="15"/>
  <c r="A176" i="15"/>
  <c r="K175" i="15"/>
  <c r="A175" i="15"/>
  <c r="S175" i="15" s="1"/>
  <c r="K174" i="15"/>
  <c r="A174" i="15"/>
  <c r="K173" i="15"/>
  <c r="A173" i="15"/>
  <c r="K172" i="15"/>
  <c r="A172" i="15"/>
  <c r="K171" i="15"/>
  <c r="A171" i="15"/>
  <c r="K170" i="15"/>
  <c r="A170" i="15"/>
  <c r="K169" i="15"/>
  <c r="A169" i="15"/>
  <c r="S169" i="15" s="1"/>
  <c r="K168" i="15"/>
  <c r="A168" i="15"/>
  <c r="K167" i="15"/>
  <c r="A167" i="15"/>
  <c r="S167" i="15" s="1"/>
  <c r="K166" i="15"/>
  <c r="A166" i="15"/>
  <c r="K165" i="15"/>
  <c r="A165" i="15"/>
  <c r="K164" i="15"/>
  <c r="A164" i="15"/>
  <c r="K163" i="15"/>
  <c r="A163" i="15"/>
  <c r="K162" i="15"/>
  <c r="A162" i="15"/>
  <c r="K161" i="15"/>
  <c r="A161" i="15"/>
  <c r="K160" i="15"/>
  <c r="A160" i="15"/>
  <c r="K159" i="15"/>
  <c r="A159" i="15"/>
  <c r="K158" i="15"/>
  <c r="A158" i="15"/>
  <c r="K157" i="15"/>
  <c r="A157" i="15"/>
  <c r="K156" i="15"/>
  <c r="A156" i="15"/>
  <c r="K155" i="15"/>
  <c r="A155" i="15"/>
  <c r="S155" i="15" s="1"/>
  <c r="K154" i="15"/>
  <c r="A154" i="15"/>
  <c r="K153" i="15"/>
  <c r="A153" i="15"/>
  <c r="K152" i="15"/>
  <c r="A152" i="15"/>
  <c r="K151" i="15"/>
  <c r="A151" i="15"/>
  <c r="K150" i="15"/>
  <c r="A150" i="15"/>
  <c r="K149" i="15"/>
  <c r="A149" i="15"/>
  <c r="K148" i="15"/>
  <c r="A148" i="15"/>
  <c r="K147" i="15"/>
  <c r="A147" i="15"/>
  <c r="S147" i="15" s="1"/>
  <c r="K146" i="15"/>
  <c r="A146" i="15"/>
  <c r="K145" i="15"/>
  <c r="A145" i="15"/>
  <c r="K144" i="15"/>
  <c r="A144" i="15"/>
  <c r="T144" i="15" s="1"/>
  <c r="K143" i="15"/>
  <c r="A143" i="15"/>
  <c r="K142" i="15"/>
  <c r="A142" i="15"/>
  <c r="K141" i="15"/>
  <c r="A141" i="15"/>
  <c r="K140" i="15"/>
  <c r="A140" i="15"/>
  <c r="K139" i="15"/>
  <c r="A139" i="15"/>
  <c r="K138" i="15"/>
  <c r="A138" i="15"/>
  <c r="K137" i="15"/>
  <c r="A137" i="15"/>
  <c r="K136" i="15"/>
  <c r="A136" i="15"/>
  <c r="K135" i="15"/>
  <c r="A135" i="15"/>
  <c r="K134" i="15"/>
  <c r="A134" i="15"/>
  <c r="K133" i="15"/>
  <c r="A133" i="15"/>
  <c r="K132" i="15"/>
  <c r="A132" i="15"/>
  <c r="K131" i="15"/>
  <c r="A131" i="15"/>
  <c r="K130" i="15"/>
  <c r="A130" i="15"/>
  <c r="K129" i="15"/>
  <c r="A129" i="15"/>
  <c r="K128" i="15"/>
  <c r="A128" i="15"/>
  <c r="K127" i="15"/>
  <c r="A127" i="15"/>
  <c r="K126" i="15"/>
  <c r="A126" i="15"/>
  <c r="K125" i="15"/>
  <c r="A125" i="15"/>
  <c r="S125" i="15" s="1"/>
  <c r="K124" i="15"/>
  <c r="A124" i="15"/>
  <c r="K123" i="15"/>
  <c r="A123" i="15"/>
  <c r="K122" i="15"/>
  <c r="A122" i="15"/>
  <c r="K121" i="15"/>
  <c r="A121" i="15"/>
  <c r="K120" i="15"/>
  <c r="A120" i="15"/>
  <c r="K119" i="15"/>
  <c r="A119" i="15"/>
  <c r="K118" i="15"/>
  <c r="A118" i="15"/>
  <c r="K117" i="15"/>
  <c r="A117" i="15"/>
  <c r="S117" i="15" s="1"/>
  <c r="K116" i="15"/>
  <c r="A116" i="15"/>
  <c r="K115" i="15"/>
  <c r="A115" i="15"/>
  <c r="K114" i="15"/>
  <c r="A114" i="15"/>
  <c r="S114" i="15" s="1"/>
  <c r="K113" i="15"/>
  <c r="A113" i="15"/>
  <c r="K112" i="15"/>
  <c r="A112" i="15"/>
  <c r="K111" i="15"/>
  <c r="A111" i="15"/>
  <c r="K110" i="15"/>
  <c r="A110" i="15"/>
  <c r="K109" i="15"/>
  <c r="A109" i="15"/>
  <c r="K108" i="15"/>
  <c r="A108" i="15"/>
  <c r="K107" i="15"/>
  <c r="A107" i="15"/>
  <c r="K106" i="15"/>
  <c r="A106" i="15"/>
  <c r="K105" i="15"/>
  <c r="A105" i="15"/>
  <c r="K104" i="15"/>
  <c r="A104" i="15"/>
  <c r="K103" i="15"/>
  <c r="A103" i="15"/>
  <c r="K102" i="15"/>
  <c r="A102" i="15"/>
  <c r="K101" i="15"/>
  <c r="A101" i="15"/>
  <c r="K100" i="15"/>
  <c r="A100" i="15"/>
  <c r="K99" i="15"/>
  <c r="A99" i="15"/>
  <c r="S99" i="15" s="1"/>
  <c r="K98" i="15"/>
  <c r="A98" i="15"/>
  <c r="S98" i="15" s="1"/>
  <c r="K97" i="15"/>
  <c r="A97" i="15"/>
  <c r="K96" i="15"/>
  <c r="A96" i="15"/>
  <c r="T96" i="15" s="1"/>
  <c r="K95" i="15"/>
  <c r="A95" i="15"/>
  <c r="K94" i="15"/>
  <c r="A94" i="15"/>
  <c r="K93" i="15"/>
  <c r="A93" i="15"/>
  <c r="K92" i="15"/>
  <c r="A92" i="15"/>
  <c r="K91" i="15"/>
  <c r="A91" i="15"/>
  <c r="K90" i="15"/>
  <c r="A90" i="15"/>
  <c r="K89" i="15"/>
  <c r="A89" i="15"/>
  <c r="K88" i="15"/>
  <c r="A88" i="15"/>
  <c r="K87" i="15"/>
  <c r="A87" i="15"/>
  <c r="K86" i="15"/>
  <c r="A86" i="15"/>
  <c r="K85" i="15"/>
  <c r="A85" i="15"/>
  <c r="K84" i="15"/>
  <c r="A84" i="15"/>
  <c r="K83" i="15"/>
  <c r="A83" i="15"/>
  <c r="K82" i="15"/>
  <c r="A82" i="15"/>
  <c r="K81" i="15"/>
  <c r="A81" i="15"/>
  <c r="K80" i="15"/>
  <c r="A80" i="15"/>
  <c r="S80" i="15" s="1"/>
  <c r="K79" i="15"/>
  <c r="A79" i="15"/>
  <c r="K78" i="15"/>
  <c r="A78" i="15"/>
  <c r="K77" i="15"/>
  <c r="A77" i="15"/>
  <c r="T77" i="15" s="1"/>
  <c r="K76" i="15"/>
  <c r="A76" i="15"/>
  <c r="K75" i="15"/>
  <c r="A75" i="15"/>
  <c r="K74" i="15"/>
  <c r="A74" i="15"/>
  <c r="K73" i="15"/>
  <c r="A73" i="15"/>
  <c r="K72" i="15"/>
  <c r="A72" i="15"/>
  <c r="K71" i="15"/>
  <c r="A71" i="15"/>
  <c r="K70" i="15"/>
  <c r="A70" i="15"/>
  <c r="K69" i="15"/>
  <c r="A69" i="15"/>
  <c r="K68" i="15"/>
  <c r="A68" i="15"/>
  <c r="S68" i="15" s="1"/>
  <c r="K67" i="15"/>
  <c r="A67" i="15"/>
  <c r="T67" i="15" s="1"/>
  <c r="K66" i="15"/>
  <c r="A66" i="15"/>
  <c r="S66" i="15" s="1"/>
  <c r="K65" i="15"/>
  <c r="A65" i="15"/>
  <c r="K64" i="15"/>
  <c r="A64" i="15"/>
  <c r="T64" i="15" s="1"/>
  <c r="K63" i="15"/>
  <c r="A63" i="15"/>
  <c r="S63" i="15" s="1"/>
  <c r="K62" i="15"/>
  <c r="A62" i="15"/>
  <c r="K61" i="15"/>
  <c r="A61" i="15"/>
  <c r="S61" i="15" s="1"/>
  <c r="K60" i="15"/>
  <c r="A60" i="15"/>
  <c r="K59" i="15"/>
  <c r="A59" i="15"/>
  <c r="K58" i="15"/>
  <c r="A58" i="15"/>
  <c r="S58" i="15" s="1"/>
  <c r="K57" i="15"/>
  <c r="A57" i="15"/>
  <c r="K56" i="15"/>
  <c r="A56" i="15"/>
  <c r="K55" i="15"/>
  <c r="A55" i="15"/>
  <c r="K54" i="15"/>
  <c r="A54" i="15"/>
  <c r="S54" i="15" s="1"/>
  <c r="K53" i="15"/>
  <c r="A53" i="15"/>
  <c r="S53" i="15" s="1"/>
  <c r="K52" i="15"/>
  <c r="A52" i="15"/>
  <c r="T52" i="15" s="1"/>
  <c r="A11" i="14"/>
  <c r="A10" i="14"/>
  <c r="A9" i="14"/>
  <c r="A8" i="14"/>
  <c r="A7" i="14"/>
  <c r="A6" i="14"/>
  <c r="A5" i="14"/>
  <c r="A4" i="14"/>
  <c r="A3" i="14"/>
  <c r="M14" i="11"/>
  <c r="M13" i="11"/>
  <c r="M11" i="11"/>
  <c r="M10" i="11"/>
  <c r="M9" i="11"/>
  <c r="M8" i="11"/>
  <c r="M7" i="11"/>
  <c r="M6" i="11"/>
  <c r="M5" i="11"/>
  <c r="M4" i="11"/>
  <c r="M3" i="11"/>
  <c r="M2" i="11"/>
  <c r="A11" i="10"/>
  <c r="A10" i="10"/>
  <c r="A9" i="10"/>
  <c r="A8" i="10"/>
  <c r="A7" i="10"/>
  <c r="A6" i="10"/>
  <c r="A5" i="10"/>
  <c r="A4" i="10"/>
  <c r="A3" i="10"/>
  <c r="A2" i="10"/>
  <c r="J2" i="8"/>
  <c r="S415" i="7"/>
  <c r="S414" i="7"/>
  <c r="S413" i="7"/>
  <c r="S412" i="7"/>
  <c r="S411" i="7"/>
  <c r="S410" i="7"/>
  <c r="S409" i="7"/>
  <c r="S408" i="7"/>
  <c r="S407" i="7"/>
  <c r="S406" i="7"/>
  <c r="S405" i="7"/>
  <c r="S404" i="7"/>
  <c r="S403" i="7"/>
  <c r="S402" i="7"/>
  <c r="S401" i="7"/>
  <c r="S400" i="7"/>
  <c r="S399" i="7"/>
  <c r="S398" i="7"/>
  <c r="S397" i="7"/>
  <c r="S396" i="7"/>
  <c r="S395" i="7"/>
  <c r="S394" i="7"/>
  <c r="S393" i="7"/>
  <c r="S392" i="7"/>
  <c r="S391" i="7"/>
  <c r="S390" i="7"/>
  <c r="S389" i="7"/>
  <c r="S388" i="7"/>
  <c r="S387" i="7"/>
  <c r="S386" i="7"/>
  <c r="S385" i="7"/>
  <c r="S384" i="7"/>
  <c r="S383" i="7"/>
  <c r="S382" i="7"/>
  <c r="S381" i="7"/>
  <c r="S380" i="7"/>
  <c r="S379" i="7"/>
  <c r="S378" i="7"/>
  <c r="S377" i="7"/>
  <c r="S376" i="7"/>
  <c r="S375" i="7"/>
  <c r="S374" i="7"/>
  <c r="S373" i="7"/>
  <c r="S372" i="7"/>
  <c r="S371" i="7"/>
  <c r="S370" i="7"/>
  <c r="S369" i="7"/>
  <c r="S368" i="7"/>
  <c r="S367" i="7"/>
  <c r="S366" i="7"/>
  <c r="S365" i="7"/>
  <c r="S364" i="7"/>
  <c r="S363" i="7"/>
  <c r="S362" i="7"/>
  <c r="S361" i="7"/>
  <c r="S360" i="7"/>
  <c r="S359" i="7"/>
  <c r="S358" i="7"/>
  <c r="S357" i="7"/>
  <c r="S356" i="7"/>
  <c r="S355" i="7"/>
  <c r="S354" i="7"/>
  <c r="S353" i="7"/>
  <c r="S352" i="7"/>
  <c r="S351" i="7"/>
  <c r="S350" i="7"/>
  <c r="S349" i="7"/>
  <c r="S348" i="7"/>
  <c r="S347" i="7"/>
  <c r="S346" i="7"/>
  <c r="S345" i="7"/>
  <c r="S344" i="7"/>
  <c r="S343" i="7"/>
  <c r="S342" i="7"/>
  <c r="S341" i="7"/>
  <c r="S340" i="7"/>
  <c r="S339" i="7"/>
  <c r="S338" i="7"/>
  <c r="S337" i="7"/>
  <c r="S336" i="7"/>
  <c r="S335" i="7"/>
  <c r="S334" i="7"/>
  <c r="S333" i="7"/>
  <c r="S332" i="7"/>
  <c r="S331" i="7"/>
  <c r="S330" i="7"/>
  <c r="S329" i="7"/>
  <c r="S328" i="7"/>
  <c r="S327" i="7"/>
  <c r="S326" i="7"/>
  <c r="S325" i="7"/>
  <c r="S324" i="7"/>
  <c r="S323" i="7"/>
  <c r="S322" i="7"/>
  <c r="S321" i="7"/>
  <c r="S320" i="7"/>
  <c r="S319" i="7"/>
  <c r="S318" i="7"/>
  <c r="S317" i="7"/>
  <c r="S316" i="7"/>
  <c r="S315" i="7"/>
  <c r="S314" i="7"/>
  <c r="S313" i="7"/>
  <c r="S312" i="7"/>
  <c r="S311" i="7"/>
  <c r="S310" i="7"/>
  <c r="S309" i="7"/>
  <c r="S308" i="7"/>
  <c r="S307" i="7"/>
  <c r="S306" i="7"/>
  <c r="S305" i="7"/>
  <c r="S304" i="7"/>
  <c r="S303" i="7"/>
  <c r="S302" i="7"/>
  <c r="S301" i="7"/>
  <c r="S300" i="7"/>
  <c r="S299" i="7"/>
  <c r="S298" i="7"/>
  <c r="S297" i="7"/>
  <c r="S296" i="7"/>
  <c r="S295" i="7"/>
  <c r="S294" i="7"/>
  <c r="S293" i="7"/>
  <c r="S292" i="7"/>
  <c r="S291" i="7"/>
  <c r="S290" i="7"/>
  <c r="S289" i="7"/>
  <c r="S288" i="7"/>
  <c r="S287" i="7"/>
  <c r="S286" i="7"/>
  <c r="S285" i="7"/>
  <c r="S284" i="7"/>
  <c r="S283" i="7"/>
  <c r="S282" i="7"/>
  <c r="S281" i="7"/>
  <c r="S280" i="7"/>
  <c r="S279" i="7"/>
  <c r="S278" i="7"/>
  <c r="S277" i="7"/>
  <c r="S276" i="7"/>
  <c r="S275" i="7"/>
  <c r="S274" i="7"/>
  <c r="S273" i="7"/>
  <c r="S272" i="7"/>
  <c r="S271" i="7"/>
  <c r="S270" i="7"/>
  <c r="S269" i="7"/>
  <c r="S268" i="7"/>
  <c r="S267" i="7"/>
  <c r="S266" i="7"/>
  <c r="S265" i="7"/>
  <c r="S264" i="7"/>
  <c r="S263" i="7"/>
  <c r="S262" i="7"/>
  <c r="S261" i="7"/>
  <c r="S260" i="7"/>
  <c r="S259" i="7"/>
  <c r="S258" i="7"/>
  <c r="S257" i="7"/>
  <c r="S256" i="7"/>
  <c r="S255" i="7"/>
  <c r="S254" i="7"/>
  <c r="S253" i="7"/>
  <c r="S252" i="7"/>
  <c r="S251" i="7"/>
  <c r="S250" i="7"/>
  <c r="S249" i="7"/>
  <c r="S248" i="7"/>
  <c r="S247" i="7"/>
  <c r="S246" i="7"/>
  <c r="S245" i="7"/>
  <c r="S244" i="7"/>
  <c r="S243" i="7"/>
  <c r="S242" i="7"/>
  <c r="S241" i="7"/>
  <c r="S240" i="7"/>
  <c r="S239" i="7"/>
  <c r="S238" i="7"/>
  <c r="S237" i="7"/>
  <c r="S236" i="7"/>
  <c r="S235" i="7"/>
  <c r="S234" i="7"/>
  <c r="S233" i="7"/>
  <c r="S232" i="7"/>
  <c r="S231" i="7"/>
  <c r="S230" i="7"/>
  <c r="S229" i="7"/>
  <c r="S228" i="7"/>
  <c r="S227" i="7"/>
  <c r="S226" i="7"/>
  <c r="S225" i="7"/>
  <c r="S224" i="7"/>
  <c r="S223" i="7"/>
  <c r="S222" i="7"/>
  <c r="S221" i="7"/>
  <c r="S220" i="7"/>
  <c r="S219" i="7"/>
  <c r="S218" i="7"/>
  <c r="S217" i="7"/>
  <c r="S216" i="7"/>
  <c r="S215" i="7"/>
  <c r="S214" i="7"/>
  <c r="S213" i="7"/>
  <c r="S212" i="7"/>
  <c r="S211" i="7"/>
  <c r="S210" i="7"/>
  <c r="S201" i="7"/>
  <c r="S200" i="7"/>
  <c r="S199" i="7"/>
  <c r="S198" i="7"/>
  <c r="S197" i="7"/>
  <c r="S196" i="7"/>
  <c r="S195" i="7"/>
  <c r="S194" i="7"/>
  <c r="S193" i="7"/>
  <c r="S192" i="7"/>
  <c r="S191" i="7"/>
  <c r="S190" i="7"/>
  <c r="S189" i="7"/>
  <c r="S188" i="7"/>
  <c r="S187" i="7"/>
  <c r="S186" i="7"/>
  <c r="S185" i="7"/>
  <c r="S184" i="7"/>
  <c r="S183" i="7"/>
  <c r="S182" i="7"/>
  <c r="S181" i="7"/>
  <c r="S180" i="7"/>
  <c r="S179" i="7"/>
  <c r="S178" i="7"/>
  <c r="S177" i="7"/>
  <c r="S176" i="7"/>
  <c r="S175" i="7"/>
  <c r="S174" i="7"/>
  <c r="S173" i="7"/>
  <c r="S172" i="7"/>
  <c r="S171" i="7"/>
  <c r="S170" i="7"/>
  <c r="S169" i="7"/>
  <c r="S168" i="7"/>
  <c r="S167" i="7"/>
  <c r="S166" i="7"/>
  <c r="S165" i="7"/>
  <c r="S164" i="7"/>
  <c r="S163" i="7"/>
  <c r="S162" i="7"/>
  <c r="S161" i="7"/>
  <c r="S160" i="7"/>
  <c r="S159" i="7"/>
  <c r="S158" i="7"/>
  <c r="S157" i="7"/>
  <c r="S156" i="7"/>
  <c r="S155" i="7"/>
  <c r="S154" i="7"/>
  <c r="S153" i="7"/>
  <c r="S152" i="7"/>
  <c r="S151" i="7"/>
  <c r="S150" i="7"/>
  <c r="S149" i="7"/>
  <c r="S148" i="7"/>
  <c r="S147" i="7"/>
  <c r="S146" i="7"/>
  <c r="S145" i="7"/>
  <c r="S144" i="7"/>
  <c r="S143" i="7"/>
  <c r="S142" i="7"/>
  <c r="S141" i="7"/>
  <c r="S140" i="7"/>
  <c r="S139" i="7"/>
  <c r="S138" i="7"/>
  <c r="S137" i="7"/>
  <c r="S136" i="7"/>
  <c r="S135" i="7"/>
  <c r="S134" i="7"/>
  <c r="S133" i="7"/>
  <c r="S132" i="7"/>
  <c r="S131" i="7"/>
  <c r="S130" i="7"/>
  <c r="S129" i="7"/>
  <c r="S128" i="7"/>
  <c r="S127" i="7"/>
  <c r="S126" i="7"/>
  <c r="S125" i="7"/>
  <c r="S124" i="7"/>
  <c r="S123" i="7"/>
  <c r="S122" i="7"/>
  <c r="S121" i="7"/>
  <c r="S120" i="7"/>
  <c r="S119" i="7"/>
  <c r="S118" i="7"/>
  <c r="S117" i="7"/>
  <c r="S116" i="7"/>
  <c r="S115" i="7"/>
  <c r="S114" i="7"/>
  <c r="S113" i="7"/>
  <c r="S112" i="7"/>
  <c r="S111" i="7"/>
  <c r="S110" i="7"/>
  <c r="S109" i="7"/>
  <c r="S108" i="7"/>
  <c r="S107" i="7"/>
  <c r="S106" i="7"/>
  <c r="S105" i="7"/>
  <c r="S104" i="7"/>
  <c r="S103" i="7"/>
  <c r="S102" i="7"/>
  <c r="S101" i="7"/>
  <c r="S100" i="7"/>
  <c r="S99" i="7"/>
  <c r="S98" i="7"/>
  <c r="S97" i="7"/>
  <c r="S96" i="7"/>
  <c r="S95" i="7"/>
  <c r="S94" i="7"/>
  <c r="S93" i="7"/>
  <c r="S92" i="7"/>
  <c r="S91" i="7"/>
  <c r="S90" i="7"/>
  <c r="S89" i="7"/>
  <c r="S88" i="7"/>
  <c r="S87" i="7"/>
  <c r="S86" i="7"/>
  <c r="S85" i="7"/>
  <c r="S84" i="7"/>
  <c r="S83" i="7"/>
  <c r="S82" i="7"/>
  <c r="S81" i="7"/>
  <c r="S80" i="7"/>
  <c r="S79" i="7"/>
  <c r="S78" i="7"/>
  <c r="S77" i="7"/>
  <c r="S76" i="7"/>
  <c r="S75" i="7"/>
  <c r="S74" i="7"/>
  <c r="S73" i="7"/>
  <c r="S72" i="7"/>
  <c r="S71" i="7"/>
  <c r="S70" i="7"/>
  <c r="S69" i="7"/>
  <c r="S68" i="7"/>
  <c r="S67" i="7"/>
  <c r="S66" i="7"/>
  <c r="S65" i="7"/>
  <c r="S64" i="7"/>
  <c r="S63" i="7"/>
  <c r="S62" i="7"/>
  <c r="S61" i="7"/>
  <c r="S60" i="7"/>
  <c r="S59" i="7"/>
  <c r="S58" i="7"/>
  <c r="S57" i="7"/>
  <c r="S56" i="7"/>
  <c r="S55" i="7"/>
  <c r="S54" i="7"/>
  <c r="S53" i="7"/>
  <c r="S52" i="7"/>
  <c r="S51" i="7"/>
  <c r="S50" i="7"/>
  <c r="S49" i="7"/>
  <c r="S48" i="7"/>
  <c r="S47" i="7"/>
  <c r="S46" i="7"/>
  <c r="S45" i="7"/>
  <c r="I16" i="1"/>
  <c r="G16" i="1"/>
  <c r="E16" i="1"/>
  <c r="C16" i="1"/>
  <c r="A16" i="1"/>
  <c r="K13" i="1"/>
  <c r="I13" i="1"/>
  <c r="G13" i="1"/>
  <c r="E13" i="1"/>
  <c r="C13" i="1"/>
  <c r="A13" i="1"/>
  <c r="T54" i="15" l="1"/>
  <c r="S52" i="15"/>
  <c r="T53" i="15"/>
  <c r="T5" i="15"/>
  <c r="T6" i="15"/>
  <c r="T4" i="15"/>
  <c r="T7" i="15"/>
  <c r="T3" i="15"/>
  <c r="T2" i="15"/>
  <c r="A8" i="13"/>
  <c r="A11" i="13"/>
  <c r="A5" i="13"/>
  <c r="S134" i="15"/>
  <c r="T134" i="15"/>
  <c r="A10" i="13"/>
  <c r="T70" i="15"/>
  <c r="S75" i="15"/>
  <c r="T75" i="15"/>
  <c r="S153" i="15"/>
  <c r="T153" i="15"/>
  <c r="A6" i="13"/>
  <c r="S62" i="15"/>
  <c r="S129" i="15"/>
  <c r="T148" i="15"/>
  <c r="A7" i="13"/>
  <c r="T62" i="15"/>
  <c r="T129" i="15"/>
  <c r="T66" i="15"/>
  <c r="T181" i="15"/>
  <c r="A9" i="13"/>
  <c r="S182" i="15"/>
  <c r="T126" i="15"/>
  <c r="T178" i="15"/>
  <c r="O119" i="16"/>
  <c r="L119" i="16" s="1"/>
  <c r="T113" i="15"/>
  <c r="S78" i="15"/>
  <c r="T194" i="15"/>
  <c r="T164" i="15"/>
  <c r="S140" i="15"/>
  <c r="S145" i="15"/>
  <c r="T160" i="15"/>
  <c r="S198" i="15"/>
  <c r="S82" i="15"/>
  <c r="S108" i="15"/>
  <c r="T78" i="15"/>
  <c r="S104" i="15"/>
  <c r="S137" i="15"/>
  <c r="S168" i="15"/>
  <c r="S126" i="15"/>
  <c r="S130" i="15"/>
  <c r="T168" i="15"/>
  <c r="S178" i="15"/>
  <c r="T182" i="15"/>
  <c r="T58" i="15"/>
  <c r="T130" i="15"/>
  <c r="T63" i="15"/>
  <c r="T145" i="15"/>
  <c r="S113" i="15"/>
  <c r="S185" i="15"/>
  <c r="T185" i="15"/>
  <c r="S67" i="15"/>
  <c r="T198" i="15"/>
  <c r="S70" i="15"/>
  <c r="B33" i="6"/>
  <c r="H33" i="6" s="1"/>
  <c r="O181" i="16"/>
  <c r="S97" i="15"/>
  <c r="S101" i="15"/>
  <c r="T101" i="15"/>
  <c r="S158" i="15"/>
  <c r="S200" i="15"/>
  <c r="T68" i="15"/>
  <c r="S94" i="15"/>
  <c r="T114" i="15"/>
  <c r="B17" i="6"/>
  <c r="S65" i="15"/>
  <c r="O99" i="16"/>
  <c r="N99" i="16" s="1"/>
  <c r="T171" i="15"/>
  <c r="T184" i="15"/>
  <c r="T65" i="15"/>
  <c r="T81" i="15"/>
  <c r="T90" i="15"/>
  <c r="T132" i="15"/>
  <c r="T136" i="15"/>
  <c r="S201" i="15"/>
  <c r="S122" i="15"/>
  <c r="S76" i="15"/>
  <c r="S106" i="15"/>
  <c r="T118" i="15"/>
  <c r="T150" i="15"/>
  <c r="T110" i="15"/>
  <c r="T94" i="15"/>
  <c r="S81" i="15"/>
  <c r="T139" i="15"/>
  <c r="B20" i="6"/>
  <c r="I20" i="6" s="1"/>
  <c r="S74" i="15"/>
  <c r="T111" i="15"/>
  <c r="S189" i="15"/>
  <c r="T201" i="15"/>
  <c r="O178" i="16"/>
  <c r="M178" i="16" s="1"/>
  <c r="S138" i="15"/>
  <c r="S142" i="15"/>
  <c r="S166" i="15"/>
  <c r="T56" i="15"/>
  <c r="S150" i="15"/>
  <c r="T158" i="15"/>
  <c r="T166" i="15"/>
  <c r="S196" i="15"/>
  <c r="O167" i="16"/>
  <c r="J167" i="16" s="1"/>
  <c r="T146" i="15"/>
  <c r="T200" i="15"/>
  <c r="S139" i="15"/>
  <c r="S90" i="15"/>
  <c r="S136" i="15"/>
  <c r="B22" i="6"/>
  <c r="L22" i="6" s="1"/>
  <c r="K22" i="6" s="1"/>
  <c r="T74" i="15"/>
  <c r="S160" i="15"/>
  <c r="S164" i="15"/>
  <c r="S181" i="15"/>
  <c r="S60" i="15"/>
  <c r="T122" i="15"/>
  <c r="T138" i="15"/>
  <c r="T60" i="15"/>
  <c r="T80" i="15"/>
  <c r="T142" i="15"/>
  <c r="S154" i="15"/>
  <c r="B5" i="6"/>
  <c r="E5" i="6" s="1"/>
  <c r="T192" i="15"/>
  <c r="B23" i="6"/>
  <c r="D23" i="6" s="1"/>
  <c r="O197" i="16"/>
  <c r="B197" i="16" s="1"/>
  <c r="T76" i="15"/>
  <c r="T84" i="15"/>
  <c r="S110" i="15"/>
  <c r="T154" i="15"/>
  <c r="T82" i="15"/>
  <c r="T100" i="15"/>
  <c r="T104" i="15"/>
  <c r="T108" i="15"/>
  <c r="T116" i="15"/>
  <c r="T137" i="15"/>
  <c r="B36" i="6"/>
  <c r="B51" i="6"/>
  <c r="I51" i="6" s="1"/>
  <c r="T97" i="15"/>
  <c r="S146" i="15"/>
  <c r="T196" i="15"/>
  <c r="T106" i="15"/>
  <c r="S163" i="15"/>
  <c r="B14" i="6"/>
  <c r="T163" i="15"/>
  <c r="S171" i="15"/>
  <c r="B26" i="6"/>
  <c r="D26" i="6" s="1"/>
  <c r="O154" i="16"/>
  <c r="O152" i="16"/>
  <c r="T141" i="15"/>
  <c r="S141" i="15"/>
  <c r="O19" i="16"/>
  <c r="T115" i="15"/>
  <c r="O61" i="16"/>
  <c r="O96" i="16"/>
  <c r="S123" i="15"/>
  <c r="S57" i="15"/>
  <c r="O11" i="16"/>
  <c r="S105" i="15"/>
  <c r="O17" i="16"/>
  <c r="O97" i="16"/>
  <c r="O143" i="16"/>
  <c r="T105" i="15"/>
  <c r="S179" i="15"/>
  <c r="T183" i="15"/>
  <c r="T186" i="15"/>
  <c r="T195" i="15"/>
  <c r="S195" i="15"/>
  <c r="O98" i="16"/>
  <c r="O123" i="16"/>
  <c r="S112" i="15"/>
  <c r="T131" i="15"/>
  <c r="S131" i="15"/>
  <c r="O81" i="16"/>
  <c r="S120" i="15"/>
  <c r="O107" i="16"/>
  <c r="S72" i="15"/>
  <c r="B34" i="6"/>
  <c r="S186" i="15"/>
  <c r="B49" i="6"/>
  <c r="B18" i="6"/>
  <c r="B4" i="6"/>
  <c r="B19" i="6"/>
  <c r="B29" i="6"/>
  <c r="B47" i="6"/>
  <c r="B42" i="6"/>
  <c r="B21" i="6"/>
  <c r="B15" i="6"/>
  <c r="B35" i="6"/>
  <c r="B13" i="6"/>
  <c r="B37" i="6"/>
  <c r="B10" i="6"/>
  <c r="B7" i="6"/>
  <c r="B52" i="6"/>
  <c r="B50" i="6"/>
  <c r="O196" i="16"/>
  <c r="O180" i="16"/>
  <c r="O164" i="16"/>
  <c r="O148" i="16"/>
  <c r="O132" i="16"/>
  <c r="O116" i="16"/>
  <c r="O100" i="16"/>
  <c r="O84" i="16"/>
  <c r="O68" i="16"/>
  <c r="O52" i="16"/>
  <c r="O36" i="16"/>
  <c r="O20" i="16"/>
  <c r="O4" i="16"/>
  <c r="O198" i="16"/>
  <c r="O182" i="16"/>
  <c r="O183" i="16"/>
  <c r="O177" i="16"/>
  <c r="O169" i="16"/>
  <c r="O144" i="16"/>
  <c r="O136" i="16"/>
  <c r="O111" i="16"/>
  <c r="O103" i="16"/>
  <c r="O78" i="16"/>
  <c r="O70" i="16"/>
  <c r="O45" i="16"/>
  <c r="O37" i="16"/>
  <c r="O12" i="16"/>
  <c r="O200" i="16"/>
  <c r="O194" i="16"/>
  <c r="O161" i="16"/>
  <c r="O153" i="16"/>
  <c r="O128" i="16"/>
  <c r="O120" i="16"/>
  <c r="O95" i="16"/>
  <c r="O87" i="16"/>
  <c r="O62" i="16"/>
  <c r="O54" i="16"/>
  <c r="O29" i="16"/>
  <c r="O21" i="16"/>
  <c r="O13" i="16"/>
  <c r="O189" i="16"/>
  <c r="O170" i="16"/>
  <c r="O145" i="16"/>
  <c r="O137" i="16"/>
  <c r="O112" i="16"/>
  <c r="O104" i="16"/>
  <c r="O79" i="16"/>
  <c r="O71" i="16"/>
  <c r="O46" i="16"/>
  <c r="O38" i="16"/>
  <c r="O5" i="16"/>
  <c r="O201" i="16"/>
  <c r="O195" i="16"/>
  <c r="O171" i="16"/>
  <c r="O146" i="16"/>
  <c r="O138" i="16"/>
  <c r="O113" i="16"/>
  <c r="O105" i="16"/>
  <c r="O80" i="16"/>
  <c r="O72" i="16"/>
  <c r="O47" i="16"/>
  <c r="O39" i="16"/>
  <c r="O14" i="16"/>
  <c r="O6" i="16"/>
  <c r="O179" i="16"/>
  <c r="O176" i="16"/>
  <c r="O147" i="16"/>
  <c r="O141" i="16"/>
  <c r="O135" i="16"/>
  <c r="O106" i="16"/>
  <c r="O50" i="16"/>
  <c r="O44" i="16"/>
  <c r="O15" i="16"/>
  <c r="O9" i="16"/>
  <c r="O192" i="16"/>
  <c r="O156" i="16"/>
  <c r="O150" i="16"/>
  <c r="O94" i="16"/>
  <c r="O65" i="16"/>
  <c r="O59" i="16"/>
  <c r="O53" i="16"/>
  <c r="O24" i="16"/>
  <c r="O3" i="16"/>
  <c r="O190" i="16"/>
  <c r="O118" i="16"/>
  <c r="O33" i="16"/>
  <c r="O187" i="16"/>
  <c r="O165" i="16"/>
  <c r="O162" i="16"/>
  <c r="O121" i="16"/>
  <c r="O115" i="16"/>
  <c r="O109" i="16"/>
  <c r="O74" i="16"/>
  <c r="O30" i="16"/>
  <c r="O18" i="16"/>
  <c r="O159" i="16"/>
  <c r="O130" i="16"/>
  <c r="O124" i="16"/>
  <c r="O89" i="16"/>
  <c r="O27" i="16"/>
  <c r="O185" i="16"/>
  <c r="O174" i="16"/>
  <c r="O168" i="16"/>
  <c r="O139" i="16"/>
  <c r="O133" i="16"/>
  <c r="O83" i="16"/>
  <c r="O77" i="16"/>
  <c r="O48" i="16"/>
  <c r="O42" i="16"/>
  <c r="O7" i="16"/>
  <c r="O199" i="16"/>
  <c r="O160" i="16"/>
  <c r="O151" i="16"/>
  <c r="O140" i="16"/>
  <c r="O43" i="16"/>
  <c r="O32" i="16"/>
  <c r="O23" i="16"/>
  <c r="O142" i="16"/>
  <c r="O131" i="16"/>
  <c r="O129" i="16"/>
  <c r="O122" i="16"/>
  <c r="O85" i="16"/>
  <c r="O34" i="16"/>
  <c r="O25" i="16"/>
  <c r="O191" i="16"/>
  <c r="O91" i="16"/>
  <c r="O31" i="16"/>
  <c r="O93" i="16"/>
  <c r="O22" i="16"/>
  <c r="O172" i="16"/>
  <c r="O75" i="16"/>
  <c r="O64" i="16"/>
  <c r="O117" i="16"/>
  <c r="O57" i="16"/>
  <c r="O173" i="16"/>
  <c r="O76" i="16"/>
  <c r="O56" i="16"/>
  <c r="O16" i="16"/>
  <c r="O175" i="16"/>
  <c r="O166" i="16"/>
  <c r="O155" i="16"/>
  <c r="O69" i="16"/>
  <c r="O67" i="16"/>
  <c r="O58" i="16"/>
  <c r="O184" i="16"/>
  <c r="O51" i="16"/>
  <c r="O82" i="16"/>
  <c r="O186" i="16"/>
  <c r="O86" i="16"/>
  <c r="O193" i="16"/>
  <c r="O126" i="16"/>
  <c r="O157" i="16"/>
  <c r="O60" i="16"/>
  <c r="O49" i="16"/>
  <c r="O40" i="16"/>
  <c r="O102" i="16"/>
  <c r="O73" i="16"/>
  <c r="O163" i="16"/>
  <c r="O66" i="16"/>
  <c r="O55" i="16"/>
  <c r="T179" i="15"/>
  <c r="O2" i="16"/>
  <c r="A2" i="16" s="1"/>
  <c r="O149" i="16"/>
  <c r="S127" i="15"/>
  <c r="T112" i="15"/>
  <c r="T124" i="15"/>
  <c r="S124" i="15"/>
  <c r="O158" i="16"/>
  <c r="O92" i="16"/>
  <c r="B6" i="6"/>
  <c r="B41" i="6"/>
  <c r="B48" i="6"/>
  <c r="T98" i="15"/>
  <c r="T102" i="15"/>
  <c r="S102" i="15"/>
  <c r="S176" i="15"/>
  <c r="S183" i="15"/>
  <c r="T187" i="15"/>
  <c r="S187" i="15"/>
  <c r="O28" i="16"/>
  <c r="O63" i="16"/>
  <c r="O88" i="16"/>
  <c r="O108" i="16"/>
  <c r="O10" i="16"/>
  <c r="O90" i="16"/>
  <c r="T123" i="15"/>
  <c r="T190" i="15"/>
  <c r="O26" i="16"/>
  <c r="O101" i="16"/>
  <c r="T61" i="15"/>
  <c r="T120" i="15"/>
  <c r="S190" i="15"/>
  <c r="T57" i="15"/>
  <c r="T109" i="15"/>
  <c r="S109" i="15"/>
  <c r="S172" i="15"/>
  <c r="T172" i="15"/>
  <c r="T176" i="15"/>
  <c r="S180" i="15"/>
  <c r="T180" i="15"/>
  <c r="O8" i="16"/>
  <c r="O114" i="16"/>
  <c r="O134" i="16"/>
  <c r="T95" i="15"/>
  <c r="S95" i="15"/>
  <c r="S157" i="15"/>
  <c r="O125" i="16"/>
  <c r="T91" i="15"/>
  <c r="T161" i="15"/>
  <c r="S161" i="15"/>
  <c r="T165" i="15"/>
  <c r="S165" i="15"/>
  <c r="T119" i="15"/>
  <c r="S119" i="15"/>
  <c r="T157" i="15"/>
  <c r="O35" i="16"/>
  <c r="O110" i="16"/>
  <c r="S91" i="15"/>
  <c r="O41" i="16"/>
  <c r="T79" i="15"/>
  <c r="S79" i="15"/>
  <c r="S115" i="15"/>
  <c r="S64" i="15"/>
  <c r="T88" i="15"/>
  <c r="S88" i="15"/>
  <c r="T127" i="15"/>
  <c r="O127" i="16"/>
  <c r="O188" i="16"/>
  <c r="T72" i="15"/>
  <c r="T121" i="15"/>
  <c r="S121" i="15"/>
  <c r="S173" i="15"/>
  <c r="T173" i="15"/>
  <c r="T162" i="15"/>
  <c r="T55" i="15"/>
  <c r="S55" i="15"/>
  <c r="S77" i="15"/>
  <c r="S92" i="15"/>
  <c r="S96" i="15"/>
  <c r="T103" i="15"/>
  <c r="S103" i="15"/>
  <c r="S143" i="15"/>
  <c r="S69" i="15"/>
  <c r="T69" i="15"/>
  <c r="T99" i="15"/>
  <c r="T169" i="15"/>
  <c r="B44" i="6"/>
  <c r="B28" i="6"/>
  <c r="B12" i="6"/>
  <c r="B43" i="6"/>
  <c r="B27" i="6"/>
  <c r="B11" i="6"/>
  <c r="B40" i="6"/>
  <c r="B24" i="6"/>
  <c r="B8" i="6"/>
  <c r="B38" i="6"/>
  <c r="B30" i="6"/>
  <c r="B46" i="6"/>
  <c r="B45" i="6"/>
  <c r="B16" i="6"/>
  <c r="B9" i="6"/>
  <c r="B39" i="6"/>
  <c r="B31" i="6"/>
  <c r="B2" i="6"/>
  <c r="B32" i="6"/>
  <c r="B25" i="6"/>
  <c r="B3" i="6"/>
  <c r="S85" i="15"/>
  <c r="S89" i="15"/>
  <c r="T92" i="15"/>
  <c r="S133" i="15"/>
  <c r="T143" i="15"/>
  <c r="T147" i="15"/>
  <c r="T151" i="15"/>
  <c r="S151" i="15"/>
  <c r="T155" i="15"/>
  <c r="T159" i="15"/>
  <c r="S159" i="15"/>
  <c r="T193" i="15"/>
  <c r="T197" i="15"/>
  <c r="S197" i="15"/>
  <c r="T85" i="15"/>
  <c r="T89" i="15"/>
  <c r="T107" i="15"/>
  <c r="S107" i="15"/>
  <c r="T133" i="15"/>
  <c r="S162" i="15"/>
  <c r="T93" i="15"/>
  <c r="S93" i="15"/>
  <c r="T140" i="15"/>
  <c r="S144" i="15"/>
  <c r="T189" i="15"/>
  <c r="T117" i="15"/>
  <c r="T71" i="15"/>
  <c r="S71" i="15"/>
  <c r="T86" i="15"/>
  <c r="S86" i="15"/>
  <c r="T152" i="15"/>
  <c r="S152" i="15"/>
  <c r="T175" i="15"/>
  <c r="T177" i="15"/>
  <c r="S156" i="15"/>
  <c r="S170" i="15"/>
  <c r="T83" i="15"/>
  <c r="S128" i="15"/>
  <c r="S59" i="15"/>
  <c r="S73" i="15"/>
  <c r="S83" i="15"/>
  <c r="T87" i="15"/>
  <c r="S87" i="15"/>
  <c r="T125" i="15"/>
  <c r="T128" i="15"/>
  <c r="S149" i="15"/>
  <c r="S199" i="15"/>
  <c r="T135" i="15"/>
  <c r="S135" i="15"/>
  <c r="S188" i="15"/>
  <c r="S56" i="15"/>
  <c r="T59" i="15"/>
  <c r="T73" i="15"/>
  <c r="S111" i="15"/>
  <c r="S118" i="15"/>
  <c r="T149" i="15"/>
  <c r="T156" i="15"/>
  <c r="T167" i="15"/>
  <c r="T170" i="15"/>
  <c r="T174" i="15"/>
  <c r="S174" i="15"/>
  <c r="S192" i="15"/>
  <c r="T199" i="15"/>
  <c r="S84" i="15"/>
  <c r="S100" i="15"/>
  <c r="S116" i="15"/>
  <c r="S132" i="15"/>
  <c r="S148" i="15"/>
  <c r="S184" i="15"/>
  <c r="T191" i="15"/>
  <c r="S194" i="15"/>
  <c r="M119" i="16" l="1"/>
  <c r="A51" i="6"/>
  <c r="N51" i="6"/>
  <c r="P51" i="6"/>
  <c r="I33" i="6"/>
  <c r="L33" i="6"/>
  <c r="K33" i="6" s="1"/>
  <c r="M33" i="6"/>
  <c r="M26" i="6"/>
  <c r="D197" i="16"/>
  <c r="O23" i="6"/>
  <c r="N23" i="6"/>
  <c r="M23" i="6"/>
  <c r="P14" i="6"/>
  <c r="M14" i="6"/>
  <c r="H14" i="6"/>
  <c r="C33" i="6"/>
  <c r="O26" i="6"/>
  <c r="N33" i="6"/>
  <c r="O33" i="6"/>
  <c r="J33" i="6"/>
  <c r="G33" i="6"/>
  <c r="F36" i="6"/>
  <c r="G36" i="6"/>
  <c r="P23" i="6"/>
  <c r="J36" i="6"/>
  <c r="O14" i="6"/>
  <c r="A23" i="6"/>
  <c r="A26" i="6"/>
  <c r="C26" i="6"/>
  <c r="P26" i="6"/>
  <c r="J26" i="6"/>
  <c r="L26" i="6"/>
  <c r="K26" i="6" s="1"/>
  <c r="I26" i="6"/>
  <c r="A33" i="6"/>
  <c r="F33" i="6"/>
  <c r="E33" i="6"/>
  <c r="D33" i="6"/>
  <c r="Q33" i="6"/>
  <c r="N14" i="6"/>
  <c r="I14" i="6"/>
  <c r="J14" i="6"/>
  <c r="P36" i="6"/>
  <c r="L14" i="6"/>
  <c r="K14" i="6" s="1"/>
  <c r="D36" i="6"/>
  <c r="H36" i="6"/>
  <c r="A36" i="6"/>
  <c r="G14" i="6"/>
  <c r="F14" i="6"/>
  <c r="C14" i="6"/>
  <c r="C99" i="16"/>
  <c r="G99" i="16"/>
  <c r="F99" i="16"/>
  <c r="E99" i="16"/>
  <c r="C36" i="6"/>
  <c r="L23" i="6"/>
  <c r="K23" i="6" s="1"/>
  <c r="I23" i="6"/>
  <c r="G23" i="6"/>
  <c r="F23" i="6"/>
  <c r="H23" i="6"/>
  <c r="C23" i="6"/>
  <c r="J23" i="6"/>
  <c r="Q26" i="6"/>
  <c r="E36" i="6"/>
  <c r="E26" i="6"/>
  <c r="F26" i="6"/>
  <c r="P33" i="6"/>
  <c r="Q14" i="6"/>
  <c r="E23" i="6"/>
  <c r="H26" i="6"/>
  <c r="Q23" i="6"/>
  <c r="N119" i="16"/>
  <c r="B119" i="16"/>
  <c r="O51" i="6"/>
  <c r="H5" i="6"/>
  <c r="F119" i="16"/>
  <c r="E119" i="16"/>
  <c r="I119" i="16"/>
  <c r="K119" i="16"/>
  <c r="G119" i="16"/>
  <c r="H119" i="16"/>
  <c r="A119" i="16"/>
  <c r="C119" i="16"/>
  <c r="D119" i="16"/>
  <c r="J119" i="16"/>
  <c r="I36" i="6"/>
  <c r="K181" i="16"/>
  <c r="J181" i="16"/>
  <c r="D181" i="16"/>
  <c r="F181" i="16"/>
  <c r="C181" i="16"/>
  <c r="A181" i="16"/>
  <c r="M181" i="16"/>
  <c r="L181" i="16"/>
  <c r="I181" i="16"/>
  <c r="N181" i="16"/>
  <c r="M17" i="6"/>
  <c r="L17" i="6"/>
  <c r="K17" i="6" s="1"/>
  <c r="P17" i="6"/>
  <c r="E181" i="16"/>
  <c r="G181" i="16"/>
  <c r="B181" i="16"/>
  <c r="H181" i="16"/>
  <c r="G17" i="6"/>
  <c r="I197" i="16"/>
  <c r="G26" i="6"/>
  <c r="K197" i="16"/>
  <c r="J197" i="16"/>
  <c r="L197" i="16"/>
  <c r="M197" i="16"/>
  <c r="C197" i="16"/>
  <c r="E197" i="16"/>
  <c r="F197" i="16"/>
  <c r="N26" i="6"/>
  <c r="A5" i="6"/>
  <c r="M5" i="6"/>
  <c r="L5" i="6"/>
  <c r="G5" i="6"/>
  <c r="Q5" i="6"/>
  <c r="P5" i="6"/>
  <c r="O5" i="6"/>
  <c r="D5" i="6"/>
  <c r="F5" i="6"/>
  <c r="C5" i="6"/>
  <c r="E20" i="6"/>
  <c r="C51" i="6"/>
  <c r="J178" i="16"/>
  <c r="G51" i="6"/>
  <c r="I178" i="16"/>
  <c r="J51" i="6"/>
  <c r="A22" i="6"/>
  <c r="Q51" i="6"/>
  <c r="I99" i="16"/>
  <c r="H99" i="16"/>
  <c r="D99" i="16"/>
  <c r="B99" i="16"/>
  <c r="A99" i="16"/>
  <c r="M99" i="16"/>
  <c r="L99" i="16"/>
  <c r="J99" i="16"/>
  <c r="C22" i="6"/>
  <c r="D22" i="6"/>
  <c r="Q22" i="6"/>
  <c r="P22" i="6"/>
  <c r="N22" i="6"/>
  <c r="O22" i="6"/>
  <c r="F22" i="6"/>
  <c r="M22" i="6"/>
  <c r="E22" i="6"/>
  <c r="J22" i="6"/>
  <c r="I22" i="6"/>
  <c r="G22" i="6"/>
  <c r="I17" i="6"/>
  <c r="E17" i="6"/>
  <c r="H17" i="6"/>
  <c r="D17" i="6"/>
  <c r="C17" i="6"/>
  <c r="A17" i="6"/>
  <c r="Q17" i="6"/>
  <c r="N17" i="6"/>
  <c r="J17" i="6"/>
  <c r="O17" i="6"/>
  <c r="F17" i="6"/>
  <c r="L20" i="6"/>
  <c r="K20" i="6" s="1"/>
  <c r="L167" i="16"/>
  <c r="K178" i="16"/>
  <c r="N178" i="16"/>
  <c r="F178" i="16"/>
  <c r="E178" i="16"/>
  <c r="C178" i="16"/>
  <c r="D178" i="16"/>
  <c r="B178" i="16"/>
  <c r="H178" i="16"/>
  <c r="G178" i="16"/>
  <c r="A178" i="16"/>
  <c r="H22" i="6"/>
  <c r="M20" i="6"/>
  <c r="M167" i="16"/>
  <c r="H51" i="6"/>
  <c r="F51" i="6"/>
  <c r="H20" i="6"/>
  <c r="D51" i="6"/>
  <c r="N20" i="6"/>
  <c r="G167" i="16"/>
  <c r="F20" i="6"/>
  <c r="I167" i="16"/>
  <c r="L178" i="16"/>
  <c r="P20" i="6"/>
  <c r="L51" i="6"/>
  <c r="K51" i="6" s="1"/>
  <c r="E51" i="6"/>
  <c r="F167" i="16"/>
  <c r="H167" i="16"/>
  <c r="E167" i="16"/>
  <c r="D167" i="16"/>
  <c r="C167" i="16"/>
  <c r="A167" i="16"/>
  <c r="N167" i="16"/>
  <c r="B167" i="16"/>
  <c r="K167" i="16"/>
  <c r="D20" i="6"/>
  <c r="A20" i="6"/>
  <c r="Q20" i="6"/>
  <c r="O20" i="6"/>
  <c r="G20" i="6"/>
  <c r="C20" i="6"/>
  <c r="M51" i="6"/>
  <c r="J20" i="6"/>
  <c r="N5" i="6"/>
  <c r="K99" i="16"/>
  <c r="D14" i="6"/>
  <c r="A14" i="6"/>
  <c r="L36" i="6"/>
  <c r="K36" i="6" s="1"/>
  <c r="G197" i="16"/>
  <c r="M36" i="6"/>
  <c r="N197" i="16"/>
  <c r="E14" i="6"/>
  <c r="O36" i="6"/>
  <c r="N36" i="6"/>
  <c r="H197" i="16"/>
  <c r="Q36" i="6"/>
  <c r="A197" i="16"/>
  <c r="E186" i="16"/>
  <c r="C186" i="16"/>
  <c r="H186" i="16"/>
  <c r="G186" i="16"/>
  <c r="F186" i="16"/>
  <c r="B186" i="16"/>
  <c r="J186" i="16"/>
  <c r="I186" i="16"/>
  <c r="D186" i="16"/>
  <c r="A186" i="16"/>
  <c r="N186" i="16"/>
  <c r="M186" i="16"/>
  <c r="L186" i="16"/>
  <c r="K186" i="16"/>
  <c r="N16" i="6"/>
  <c r="M16" i="6"/>
  <c r="J16" i="6"/>
  <c r="C16" i="6"/>
  <c r="A16" i="6"/>
  <c r="L16" i="6"/>
  <c r="K16" i="6" s="1"/>
  <c r="I16" i="6"/>
  <c r="F16" i="6"/>
  <c r="E16" i="6"/>
  <c r="H16" i="6"/>
  <c r="D16" i="6"/>
  <c r="G16" i="6"/>
  <c r="Q16" i="6"/>
  <c r="P16" i="6"/>
  <c r="O16" i="6"/>
  <c r="C27" i="6"/>
  <c r="O27" i="6"/>
  <c r="L27" i="6"/>
  <c r="K27" i="6" s="1"/>
  <c r="J27" i="6"/>
  <c r="H27" i="6"/>
  <c r="I27" i="6"/>
  <c r="G27" i="6"/>
  <c r="F27" i="6"/>
  <c r="E27" i="6"/>
  <c r="D27" i="6"/>
  <c r="A27" i="6"/>
  <c r="N27" i="6"/>
  <c r="M27" i="6"/>
  <c r="Q27" i="6"/>
  <c r="P27" i="6"/>
  <c r="L2" i="6"/>
  <c r="H2" i="6"/>
  <c r="D2" i="6"/>
  <c r="C2" i="6"/>
  <c r="O2" i="6"/>
  <c r="N2" i="6"/>
  <c r="G2" i="6"/>
  <c r="M2" i="6"/>
  <c r="F2" i="6"/>
  <c r="E2" i="6"/>
  <c r="Q2" i="6"/>
  <c r="P2" i="6"/>
  <c r="A2" i="6"/>
  <c r="Q45" i="6"/>
  <c r="A45" i="6"/>
  <c r="P45" i="6"/>
  <c r="M45" i="6"/>
  <c r="C45" i="6"/>
  <c r="L45" i="6"/>
  <c r="K45" i="6" s="1"/>
  <c r="G45" i="6"/>
  <c r="F45" i="6"/>
  <c r="D45" i="6"/>
  <c r="J45" i="6"/>
  <c r="I45" i="6"/>
  <c r="E45" i="6"/>
  <c r="H45" i="6"/>
  <c r="O45" i="6"/>
  <c r="N45" i="6"/>
  <c r="C43" i="6"/>
  <c r="O43" i="6"/>
  <c r="P43" i="6"/>
  <c r="N43" i="6"/>
  <c r="L43" i="6"/>
  <c r="K43" i="6" s="1"/>
  <c r="M43" i="6"/>
  <c r="H43" i="6"/>
  <c r="G43" i="6"/>
  <c r="Q43" i="6"/>
  <c r="J43" i="6"/>
  <c r="I43" i="6"/>
  <c r="E43" i="6"/>
  <c r="F43" i="6"/>
  <c r="D43" i="6"/>
  <c r="A43" i="6"/>
  <c r="O31" i="6"/>
  <c r="N31" i="6"/>
  <c r="D31" i="6"/>
  <c r="C31" i="6"/>
  <c r="L31" i="6"/>
  <c r="K31" i="6" s="1"/>
  <c r="Q31" i="6"/>
  <c r="J31" i="6"/>
  <c r="P31" i="6"/>
  <c r="M31" i="6"/>
  <c r="G31" i="6"/>
  <c r="I31" i="6"/>
  <c r="F31" i="6"/>
  <c r="E31" i="6"/>
  <c r="A31" i="6"/>
  <c r="H31" i="6"/>
  <c r="G39" i="6"/>
  <c r="F39" i="6"/>
  <c r="C39" i="6"/>
  <c r="E39" i="6"/>
  <c r="D39" i="6"/>
  <c r="A39" i="6"/>
  <c r="Q39" i="6"/>
  <c r="P39" i="6"/>
  <c r="N39" i="6"/>
  <c r="I39" i="6"/>
  <c r="H39" i="6"/>
  <c r="M39" i="6"/>
  <c r="O39" i="6"/>
  <c r="L39" i="6"/>
  <c r="K39" i="6" s="1"/>
  <c r="J39" i="6"/>
  <c r="Q12" i="6"/>
  <c r="A12" i="6"/>
  <c r="N12" i="6"/>
  <c r="J12" i="6"/>
  <c r="I12" i="6"/>
  <c r="G12" i="6"/>
  <c r="C12" i="6"/>
  <c r="M12" i="6"/>
  <c r="L12" i="6"/>
  <c r="K12" i="6" s="1"/>
  <c r="H12" i="6"/>
  <c r="F12" i="6"/>
  <c r="D12" i="6"/>
  <c r="E12" i="6"/>
  <c r="P12" i="6"/>
  <c r="O12" i="6"/>
  <c r="Q28" i="6"/>
  <c r="A28" i="6"/>
  <c r="N28" i="6"/>
  <c r="O28" i="6"/>
  <c r="M28" i="6"/>
  <c r="L28" i="6"/>
  <c r="K28" i="6" s="1"/>
  <c r="J28" i="6"/>
  <c r="H28" i="6"/>
  <c r="P28" i="6"/>
  <c r="I28" i="6"/>
  <c r="G28" i="6"/>
  <c r="D28" i="6"/>
  <c r="F28" i="6"/>
  <c r="C28" i="6"/>
  <c r="E28" i="6"/>
  <c r="G3" i="6"/>
  <c r="F3" i="6"/>
  <c r="E3" i="6"/>
  <c r="D3" i="6"/>
  <c r="N3" i="6"/>
  <c r="Q3" i="6"/>
  <c r="P3" i="6"/>
  <c r="O3" i="6"/>
  <c r="H3" i="6"/>
  <c r="C3" i="6"/>
  <c r="A3" i="6"/>
  <c r="L3" i="6"/>
  <c r="M3" i="6"/>
  <c r="F24" i="6"/>
  <c r="E24" i="6"/>
  <c r="D24" i="6"/>
  <c r="C24" i="6"/>
  <c r="A24" i="6"/>
  <c r="J24" i="6"/>
  <c r="I24" i="6"/>
  <c r="H24" i="6"/>
  <c r="G24" i="6"/>
  <c r="P24" i="6"/>
  <c r="O24" i="6"/>
  <c r="N24" i="6"/>
  <c r="M24" i="6"/>
  <c r="L24" i="6"/>
  <c r="K24" i="6" s="1"/>
  <c r="Q24" i="6"/>
  <c r="E25" i="6"/>
  <c r="D25" i="6"/>
  <c r="Q25" i="6"/>
  <c r="A25" i="6"/>
  <c r="H25" i="6"/>
  <c r="G25" i="6"/>
  <c r="F25" i="6"/>
  <c r="P25" i="6"/>
  <c r="O25" i="6"/>
  <c r="N25" i="6"/>
  <c r="I25" i="6"/>
  <c r="M25" i="6"/>
  <c r="L25" i="6"/>
  <c r="K25" i="6" s="1"/>
  <c r="J25" i="6"/>
  <c r="C25" i="6"/>
  <c r="F40" i="6"/>
  <c r="E40" i="6"/>
  <c r="I40" i="6"/>
  <c r="H40" i="6"/>
  <c r="D40" i="6"/>
  <c r="G40" i="6"/>
  <c r="C40" i="6"/>
  <c r="N40" i="6"/>
  <c r="M40" i="6"/>
  <c r="A40" i="6"/>
  <c r="L40" i="6"/>
  <c r="K40" i="6" s="1"/>
  <c r="J40" i="6"/>
  <c r="P40" i="6"/>
  <c r="O40" i="6"/>
  <c r="Q40" i="6"/>
  <c r="N163" i="16"/>
  <c r="C163" i="16"/>
  <c r="B163" i="16"/>
  <c r="A163" i="16"/>
  <c r="E163" i="16"/>
  <c r="D163" i="16"/>
  <c r="F163" i="16"/>
  <c r="H163" i="16"/>
  <c r="K163" i="16"/>
  <c r="G163" i="16"/>
  <c r="M163" i="16"/>
  <c r="J163" i="16"/>
  <c r="I163" i="16"/>
  <c r="L163" i="16"/>
  <c r="G188" i="16"/>
  <c r="E188" i="16"/>
  <c r="N188" i="16"/>
  <c r="M188" i="16"/>
  <c r="L188" i="16"/>
  <c r="J188" i="16"/>
  <c r="B188" i="16"/>
  <c r="A188" i="16"/>
  <c r="C188" i="16"/>
  <c r="K188" i="16"/>
  <c r="D188" i="16"/>
  <c r="F188" i="16"/>
  <c r="I188" i="16"/>
  <c r="H188" i="16"/>
  <c r="F8" i="6"/>
  <c r="E8" i="6"/>
  <c r="Q8" i="6"/>
  <c r="O8" i="6"/>
  <c r="P8" i="6"/>
  <c r="N8" i="6"/>
  <c r="M8" i="6"/>
  <c r="L8" i="6"/>
  <c r="H8" i="6"/>
  <c r="D8" i="6"/>
  <c r="A8" i="6"/>
  <c r="C8" i="6"/>
  <c r="G8" i="6"/>
  <c r="Q44" i="6"/>
  <c r="A44" i="6"/>
  <c r="N44" i="6"/>
  <c r="P44" i="6"/>
  <c r="O44" i="6"/>
  <c r="M44" i="6"/>
  <c r="E44" i="6"/>
  <c r="D44" i="6"/>
  <c r="C44" i="6"/>
  <c r="J44" i="6"/>
  <c r="I44" i="6"/>
  <c r="G44" i="6"/>
  <c r="F44" i="6"/>
  <c r="H44" i="6"/>
  <c r="L44" i="6"/>
  <c r="K44" i="6" s="1"/>
  <c r="H157" i="16"/>
  <c r="G157" i="16"/>
  <c r="F157" i="16"/>
  <c r="E157" i="16"/>
  <c r="C157" i="16"/>
  <c r="A157" i="16"/>
  <c r="N157" i="16"/>
  <c r="L157" i="16"/>
  <c r="K157" i="16"/>
  <c r="M157" i="16"/>
  <c r="J157" i="16"/>
  <c r="B157" i="16"/>
  <c r="I157" i="16"/>
  <c r="D157" i="16"/>
  <c r="G76" i="16"/>
  <c r="K76" i="16"/>
  <c r="J76" i="16"/>
  <c r="I76" i="16"/>
  <c r="F76" i="16"/>
  <c r="M76" i="16"/>
  <c r="L76" i="16"/>
  <c r="E76" i="16"/>
  <c r="H76" i="16"/>
  <c r="D76" i="16"/>
  <c r="N76" i="16"/>
  <c r="C76" i="16"/>
  <c r="B76" i="16"/>
  <c r="A76" i="16"/>
  <c r="L129" i="16"/>
  <c r="A129" i="16"/>
  <c r="N129" i="16"/>
  <c r="K129" i="16"/>
  <c r="J129" i="16"/>
  <c r="H129" i="16"/>
  <c r="I129" i="16"/>
  <c r="G129" i="16"/>
  <c r="C129" i="16"/>
  <c r="B129" i="16"/>
  <c r="M129" i="16"/>
  <c r="F129" i="16"/>
  <c r="E129" i="16"/>
  <c r="D129" i="16"/>
  <c r="F139" i="16"/>
  <c r="D139" i="16"/>
  <c r="C139" i="16"/>
  <c r="B139" i="16"/>
  <c r="M139" i="16"/>
  <c r="L139" i="16"/>
  <c r="N139" i="16"/>
  <c r="K139" i="16"/>
  <c r="J139" i="16"/>
  <c r="E139" i="16"/>
  <c r="A139" i="16"/>
  <c r="I139" i="16"/>
  <c r="H139" i="16"/>
  <c r="G139" i="16"/>
  <c r="G165" i="16"/>
  <c r="F165" i="16"/>
  <c r="E165" i="16"/>
  <c r="C165" i="16"/>
  <c r="N165" i="16"/>
  <c r="M165" i="16"/>
  <c r="D165" i="16"/>
  <c r="B165" i="16"/>
  <c r="A165" i="16"/>
  <c r="J165" i="16"/>
  <c r="L165" i="16"/>
  <c r="I165" i="16"/>
  <c r="H165" i="16"/>
  <c r="K165" i="16"/>
  <c r="G44" i="16"/>
  <c r="M44" i="16"/>
  <c r="L44" i="16"/>
  <c r="K44" i="16"/>
  <c r="I44" i="16"/>
  <c r="N44" i="16"/>
  <c r="J44" i="16"/>
  <c r="H44" i="16"/>
  <c r="F44" i="16"/>
  <c r="D44" i="16"/>
  <c r="C44" i="16"/>
  <c r="B44" i="16"/>
  <c r="A44" i="16"/>
  <c r="E44" i="16"/>
  <c r="E138" i="16"/>
  <c r="B138" i="16"/>
  <c r="A138" i="16"/>
  <c r="M138" i="16"/>
  <c r="L138" i="16"/>
  <c r="J138" i="16"/>
  <c r="K138" i="16"/>
  <c r="I138" i="16"/>
  <c r="N138" i="16"/>
  <c r="H138" i="16"/>
  <c r="G138" i="16"/>
  <c r="F138" i="16"/>
  <c r="C138" i="16"/>
  <c r="D138" i="16"/>
  <c r="H13" i="16"/>
  <c r="M13" i="16"/>
  <c r="B13" i="16"/>
  <c r="A13" i="16"/>
  <c r="D13" i="16"/>
  <c r="C13" i="16"/>
  <c r="N13" i="16"/>
  <c r="K13" i="16"/>
  <c r="J13" i="16"/>
  <c r="E13" i="16"/>
  <c r="I13" i="16"/>
  <c r="G13" i="16"/>
  <c r="F13" i="16"/>
  <c r="L13" i="16"/>
  <c r="A70" i="16"/>
  <c r="N70" i="16"/>
  <c r="M70" i="16"/>
  <c r="K70" i="16"/>
  <c r="I70" i="16"/>
  <c r="H70" i="16"/>
  <c r="F70" i="16"/>
  <c r="G70" i="16"/>
  <c r="E70" i="16"/>
  <c r="D70" i="16"/>
  <c r="C70" i="16"/>
  <c r="B70" i="16"/>
  <c r="L70" i="16"/>
  <c r="J70" i="16"/>
  <c r="J84" i="16"/>
  <c r="I84" i="16"/>
  <c r="H84" i="16"/>
  <c r="F84" i="16"/>
  <c r="D84" i="16"/>
  <c r="C84" i="16"/>
  <c r="A84" i="16"/>
  <c r="B84" i="16"/>
  <c r="N84" i="16"/>
  <c r="M84" i="16"/>
  <c r="K84" i="16"/>
  <c r="G84" i="16"/>
  <c r="E84" i="16"/>
  <c r="L84" i="16"/>
  <c r="G7" i="6"/>
  <c r="F7" i="6"/>
  <c r="C7" i="6"/>
  <c r="Q7" i="6"/>
  <c r="P7" i="6"/>
  <c r="O7" i="6"/>
  <c r="M7" i="6"/>
  <c r="H7" i="6"/>
  <c r="A7" i="6"/>
  <c r="E7" i="6"/>
  <c r="D7" i="6"/>
  <c r="N7" i="6"/>
  <c r="L7" i="6"/>
  <c r="J35" i="6"/>
  <c r="G35" i="6"/>
  <c r="O35" i="6"/>
  <c r="N35" i="6"/>
  <c r="M35" i="6"/>
  <c r="L35" i="6"/>
  <c r="K35" i="6" s="1"/>
  <c r="I35" i="6"/>
  <c r="P35" i="6"/>
  <c r="H35" i="6"/>
  <c r="C35" i="6"/>
  <c r="A35" i="6"/>
  <c r="F35" i="6"/>
  <c r="E35" i="6"/>
  <c r="D35" i="6"/>
  <c r="Q35" i="6"/>
  <c r="O15" i="6"/>
  <c r="N15" i="6"/>
  <c r="A15" i="6"/>
  <c r="P15" i="6"/>
  <c r="E15" i="6"/>
  <c r="D15" i="6"/>
  <c r="C15" i="6"/>
  <c r="L15" i="6"/>
  <c r="K15" i="6" s="1"/>
  <c r="J15" i="6"/>
  <c r="G15" i="6"/>
  <c r="I15" i="6"/>
  <c r="H15" i="6"/>
  <c r="F15" i="6"/>
  <c r="M15" i="6"/>
  <c r="Q15" i="6"/>
  <c r="M69" i="16"/>
  <c r="L69" i="16"/>
  <c r="K69" i="16"/>
  <c r="I69" i="16"/>
  <c r="C69" i="16"/>
  <c r="B69" i="16"/>
  <c r="A69" i="16"/>
  <c r="H69" i="16"/>
  <c r="G69" i="16"/>
  <c r="F69" i="16"/>
  <c r="J69" i="16"/>
  <c r="N69" i="16"/>
  <c r="E69" i="16"/>
  <c r="D69" i="16"/>
  <c r="F91" i="16"/>
  <c r="H91" i="16"/>
  <c r="G91" i="16"/>
  <c r="E91" i="16"/>
  <c r="C91" i="16"/>
  <c r="N91" i="16"/>
  <c r="M91" i="16"/>
  <c r="K91" i="16"/>
  <c r="L91" i="16"/>
  <c r="J91" i="16"/>
  <c r="B91" i="16"/>
  <c r="D91" i="16"/>
  <c r="I91" i="16"/>
  <c r="A91" i="16"/>
  <c r="B7" i="16"/>
  <c r="E7" i="16"/>
  <c r="D7" i="16"/>
  <c r="C7" i="16"/>
  <c r="K7" i="16"/>
  <c r="I7" i="16"/>
  <c r="N7" i="16"/>
  <c r="J7" i="16"/>
  <c r="M7" i="16"/>
  <c r="L7" i="16"/>
  <c r="G7" i="16"/>
  <c r="F7" i="16"/>
  <c r="A7" i="16"/>
  <c r="H7" i="16"/>
  <c r="I30" i="16"/>
  <c r="A30" i="16"/>
  <c r="N30" i="16"/>
  <c r="M30" i="16"/>
  <c r="L30" i="16"/>
  <c r="H30" i="16"/>
  <c r="G30" i="16"/>
  <c r="F30" i="16"/>
  <c r="E30" i="16"/>
  <c r="C30" i="16"/>
  <c r="D30" i="16"/>
  <c r="B30" i="16"/>
  <c r="K30" i="16"/>
  <c r="J30" i="16"/>
  <c r="I94" i="16"/>
  <c r="N94" i="16"/>
  <c r="M94" i="16"/>
  <c r="L94" i="16"/>
  <c r="J94" i="16"/>
  <c r="K94" i="16"/>
  <c r="H94" i="16"/>
  <c r="G94" i="16"/>
  <c r="F94" i="16"/>
  <c r="E94" i="16"/>
  <c r="D94" i="16"/>
  <c r="C94" i="16"/>
  <c r="A94" i="16"/>
  <c r="B94" i="16"/>
  <c r="B39" i="16"/>
  <c r="C39" i="16"/>
  <c r="A39" i="16"/>
  <c r="N39" i="16"/>
  <c r="M39" i="16"/>
  <c r="H39" i="16"/>
  <c r="G39" i="16"/>
  <c r="F39" i="16"/>
  <c r="E39" i="16"/>
  <c r="D39" i="16"/>
  <c r="J39" i="16"/>
  <c r="L39" i="16"/>
  <c r="I39" i="16"/>
  <c r="K39" i="16"/>
  <c r="C104" i="16"/>
  <c r="M104" i="16"/>
  <c r="B104" i="16"/>
  <c r="A104" i="16"/>
  <c r="J104" i="16"/>
  <c r="L104" i="16"/>
  <c r="N104" i="16"/>
  <c r="K104" i="16"/>
  <c r="I104" i="16"/>
  <c r="H104" i="16"/>
  <c r="G104" i="16"/>
  <c r="F104" i="16"/>
  <c r="E104" i="16"/>
  <c r="D104" i="16"/>
  <c r="L161" i="16"/>
  <c r="N161" i="16"/>
  <c r="K161" i="16"/>
  <c r="I161" i="16"/>
  <c r="H161" i="16"/>
  <c r="F161" i="16"/>
  <c r="G161" i="16"/>
  <c r="E161" i="16"/>
  <c r="A161" i="16"/>
  <c r="M161" i="16"/>
  <c r="J161" i="16"/>
  <c r="D161" i="16"/>
  <c r="C161" i="16"/>
  <c r="B161" i="16"/>
  <c r="A198" i="16"/>
  <c r="J198" i="16"/>
  <c r="I198" i="16"/>
  <c r="H198" i="16"/>
  <c r="F198" i="16"/>
  <c r="M198" i="16"/>
  <c r="L198" i="16"/>
  <c r="K198" i="16"/>
  <c r="N198" i="16"/>
  <c r="G198" i="16"/>
  <c r="D198" i="16"/>
  <c r="C198" i="16"/>
  <c r="B198" i="16"/>
  <c r="E198" i="16"/>
  <c r="N48" i="6"/>
  <c r="M48" i="6"/>
  <c r="J48" i="6"/>
  <c r="I48" i="6"/>
  <c r="H48" i="6"/>
  <c r="G48" i="6"/>
  <c r="F48" i="6"/>
  <c r="E48" i="6"/>
  <c r="L48" i="6"/>
  <c r="K48" i="6" s="1"/>
  <c r="D48" i="6"/>
  <c r="Q48" i="6"/>
  <c r="O48" i="6"/>
  <c r="P48" i="6"/>
  <c r="C48" i="6"/>
  <c r="A48" i="6"/>
  <c r="G92" i="16"/>
  <c r="J92" i="16"/>
  <c r="I92" i="16"/>
  <c r="H92" i="16"/>
  <c r="E92" i="16"/>
  <c r="F92" i="16"/>
  <c r="D92" i="16"/>
  <c r="C92" i="16"/>
  <c r="B92" i="16"/>
  <c r="A92" i="16"/>
  <c r="L92" i="16"/>
  <c r="K92" i="16"/>
  <c r="N92" i="16"/>
  <c r="M92" i="16"/>
  <c r="K101" i="16"/>
  <c r="J101" i="16"/>
  <c r="I101" i="16"/>
  <c r="G101" i="16"/>
  <c r="A101" i="16"/>
  <c r="E101" i="16"/>
  <c r="D101" i="16"/>
  <c r="C101" i="16"/>
  <c r="B101" i="16"/>
  <c r="M101" i="16"/>
  <c r="H101" i="16"/>
  <c r="F101" i="16"/>
  <c r="N101" i="16"/>
  <c r="L101" i="16"/>
  <c r="G60" i="16"/>
  <c r="L60" i="16"/>
  <c r="K60" i="16"/>
  <c r="J60" i="16"/>
  <c r="H60" i="16"/>
  <c r="A60" i="16"/>
  <c r="M60" i="16"/>
  <c r="N60" i="16"/>
  <c r="I60" i="16"/>
  <c r="F60" i="16"/>
  <c r="E60" i="16"/>
  <c r="D60" i="16"/>
  <c r="C60" i="16"/>
  <c r="B60" i="16"/>
  <c r="C56" i="16"/>
  <c r="D56" i="16"/>
  <c r="B56" i="16"/>
  <c r="A56" i="16"/>
  <c r="N56" i="16"/>
  <c r="M56" i="16"/>
  <c r="L56" i="16"/>
  <c r="K56" i="16"/>
  <c r="J56" i="16"/>
  <c r="F56" i="16"/>
  <c r="I56" i="16"/>
  <c r="G56" i="16"/>
  <c r="E56" i="16"/>
  <c r="H56" i="16"/>
  <c r="E122" i="16"/>
  <c r="C122" i="16"/>
  <c r="B122" i="16"/>
  <c r="A122" i="16"/>
  <c r="F122" i="16"/>
  <c r="D122" i="16"/>
  <c r="J122" i="16"/>
  <c r="H122" i="16"/>
  <c r="N122" i="16"/>
  <c r="M122" i="16"/>
  <c r="I122" i="16"/>
  <c r="L122" i="16"/>
  <c r="K122" i="16"/>
  <c r="G122" i="16"/>
  <c r="I133" i="16"/>
  <c r="H133" i="16"/>
  <c r="G133" i="16"/>
  <c r="E133" i="16"/>
  <c r="K133" i="16"/>
  <c r="F133" i="16"/>
  <c r="N133" i="16"/>
  <c r="M133" i="16"/>
  <c r="D133" i="16"/>
  <c r="L133" i="16"/>
  <c r="J133" i="16"/>
  <c r="C133" i="16"/>
  <c r="B133" i="16"/>
  <c r="A133" i="16"/>
  <c r="M162" i="16"/>
  <c r="A162" i="16"/>
  <c r="N162" i="16"/>
  <c r="L162" i="16"/>
  <c r="K162" i="16"/>
  <c r="J162" i="16"/>
  <c r="E162" i="16"/>
  <c r="D162" i="16"/>
  <c r="C162" i="16"/>
  <c r="I162" i="16"/>
  <c r="H162" i="16"/>
  <c r="G162" i="16"/>
  <c r="F162" i="16"/>
  <c r="B162" i="16"/>
  <c r="J15" i="16"/>
  <c r="D15" i="16"/>
  <c r="C15" i="16"/>
  <c r="B15" i="16"/>
  <c r="N15" i="16"/>
  <c r="L15" i="16"/>
  <c r="M15" i="16"/>
  <c r="K15" i="16"/>
  <c r="E15" i="16"/>
  <c r="A15" i="16"/>
  <c r="H15" i="16"/>
  <c r="G15" i="16"/>
  <c r="F15" i="16"/>
  <c r="I15" i="16"/>
  <c r="L113" i="16"/>
  <c r="B113" i="16"/>
  <c r="A113" i="16"/>
  <c r="D113" i="16"/>
  <c r="C113" i="16"/>
  <c r="K113" i="16"/>
  <c r="J113" i="16"/>
  <c r="N113" i="16"/>
  <c r="I113" i="16"/>
  <c r="M113" i="16"/>
  <c r="H113" i="16"/>
  <c r="E113" i="16"/>
  <c r="G113" i="16"/>
  <c r="F113" i="16"/>
  <c r="H189" i="16"/>
  <c r="F189" i="16"/>
  <c r="M189" i="16"/>
  <c r="K189" i="16"/>
  <c r="G189" i="16"/>
  <c r="J189" i="16"/>
  <c r="I189" i="16"/>
  <c r="E189" i="16"/>
  <c r="D189" i="16"/>
  <c r="C189" i="16"/>
  <c r="L189" i="16"/>
  <c r="N189" i="16"/>
  <c r="B189" i="16"/>
  <c r="A189" i="16"/>
  <c r="H45" i="16"/>
  <c r="N45" i="16"/>
  <c r="M45" i="16"/>
  <c r="K45" i="16"/>
  <c r="L45" i="16"/>
  <c r="F45" i="16"/>
  <c r="E45" i="16"/>
  <c r="D45" i="16"/>
  <c r="J45" i="16"/>
  <c r="I45" i="16"/>
  <c r="G45" i="16"/>
  <c r="C45" i="16"/>
  <c r="B45" i="16"/>
  <c r="A45" i="16"/>
  <c r="K68" i="16"/>
  <c r="J68" i="16"/>
  <c r="I68" i="16"/>
  <c r="G68" i="16"/>
  <c r="N68" i="16"/>
  <c r="M68" i="16"/>
  <c r="C68" i="16"/>
  <c r="B68" i="16"/>
  <c r="A68" i="16"/>
  <c r="L68" i="16"/>
  <c r="H68" i="16"/>
  <c r="D68" i="16"/>
  <c r="F68" i="16"/>
  <c r="E68" i="16"/>
  <c r="H125" i="16"/>
  <c r="J125" i="16"/>
  <c r="I125" i="16"/>
  <c r="G125" i="16"/>
  <c r="E125" i="16"/>
  <c r="C125" i="16"/>
  <c r="B125" i="16"/>
  <c r="A125" i="16"/>
  <c r="L125" i="16"/>
  <c r="K125" i="16"/>
  <c r="F125" i="16"/>
  <c r="D125" i="16"/>
  <c r="M125" i="16"/>
  <c r="N125" i="16"/>
  <c r="H6" i="6"/>
  <c r="G6" i="6"/>
  <c r="D6" i="6"/>
  <c r="O6" i="6"/>
  <c r="N6" i="6"/>
  <c r="M6" i="6"/>
  <c r="P6" i="6"/>
  <c r="Q6" i="6"/>
  <c r="F6" i="6"/>
  <c r="A6" i="6"/>
  <c r="E6" i="6"/>
  <c r="C6" i="6"/>
  <c r="L6" i="6"/>
  <c r="N19" i="16"/>
  <c r="L19" i="16"/>
  <c r="K19" i="16"/>
  <c r="J19" i="16"/>
  <c r="H19" i="16"/>
  <c r="B19" i="16"/>
  <c r="A19" i="16"/>
  <c r="I19" i="16"/>
  <c r="G19" i="16"/>
  <c r="F19" i="16"/>
  <c r="E19" i="16"/>
  <c r="C19" i="16"/>
  <c r="D19" i="16"/>
  <c r="M19" i="16"/>
  <c r="D73" i="16"/>
  <c r="E73" i="16"/>
  <c r="C73" i="16"/>
  <c r="B73" i="16"/>
  <c r="K73" i="16"/>
  <c r="J73" i="16"/>
  <c r="I73" i="16"/>
  <c r="H73" i="16"/>
  <c r="G73" i="16"/>
  <c r="M73" i="16"/>
  <c r="N73" i="16"/>
  <c r="L73" i="16"/>
  <c r="F73" i="16"/>
  <c r="A73" i="16"/>
  <c r="F155" i="16"/>
  <c r="C155" i="16"/>
  <c r="B155" i="16"/>
  <c r="A155" i="16"/>
  <c r="J155" i="16"/>
  <c r="I155" i="16"/>
  <c r="G155" i="16"/>
  <c r="H155" i="16"/>
  <c r="E155" i="16"/>
  <c r="L155" i="16"/>
  <c r="K155" i="16"/>
  <c r="D155" i="16"/>
  <c r="N155" i="16"/>
  <c r="M155" i="16"/>
  <c r="J191" i="16"/>
  <c r="H191" i="16"/>
  <c r="E191" i="16"/>
  <c r="D191" i="16"/>
  <c r="C191" i="16"/>
  <c r="A191" i="16"/>
  <c r="G191" i="16"/>
  <c r="F191" i="16"/>
  <c r="B191" i="16"/>
  <c r="L191" i="16"/>
  <c r="M191" i="16"/>
  <c r="N191" i="16"/>
  <c r="I191" i="16"/>
  <c r="K191" i="16"/>
  <c r="E42" i="16"/>
  <c r="I42" i="16"/>
  <c r="H42" i="16"/>
  <c r="G42" i="16"/>
  <c r="D42" i="16"/>
  <c r="N42" i="16"/>
  <c r="M42" i="16"/>
  <c r="L42" i="16"/>
  <c r="F42" i="16"/>
  <c r="B42" i="16"/>
  <c r="C42" i="16"/>
  <c r="K42" i="16"/>
  <c r="J42" i="16"/>
  <c r="A42" i="16"/>
  <c r="E74" i="16"/>
  <c r="G74" i="16"/>
  <c r="F74" i="16"/>
  <c r="D74" i="16"/>
  <c r="B74" i="16"/>
  <c r="N74" i="16"/>
  <c r="M74" i="16"/>
  <c r="K74" i="16"/>
  <c r="J74" i="16"/>
  <c r="I74" i="16"/>
  <c r="H74" i="16"/>
  <c r="A74" i="16"/>
  <c r="C74" i="16"/>
  <c r="L74" i="16"/>
  <c r="A150" i="16"/>
  <c r="J150" i="16"/>
  <c r="I150" i="16"/>
  <c r="H150" i="16"/>
  <c r="F150" i="16"/>
  <c r="N150" i="16"/>
  <c r="M150" i="16"/>
  <c r="L150" i="16"/>
  <c r="D150" i="16"/>
  <c r="K150" i="16"/>
  <c r="G150" i="16"/>
  <c r="C150" i="16"/>
  <c r="B150" i="16"/>
  <c r="E150" i="16"/>
  <c r="J47" i="16"/>
  <c r="B47" i="16"/>
  <c r="A47" i="16"/>
  <c r="M47" i="16"/>
  <c r="L47" i="16"/>
  <c r="K47" i="16"/>
  <c r="I47" i="16"/>
  <c r="H47" i="16"/>
  <c r="F47" i="16"/>
  <c r="E47" i="16"/>
  <c r="D47" i="16"/>
  <c r="N47" i="16"/>
  <c r="G47" i="16"/>
  <c r="C47" i="16"/>
  <c r="K112" i="16"/>
  <c r="M112" i="16"/>
  <c r="N112" i="16"/>
  <c r="L112" i="16"/>
  <c r="J112" i="16"/>
  <c r="E112" i="16"/>
  <c r="D112" i="16"/>
  <c r="C112" i="16"/>
  <c r="B112" i="16"/>
  <c r="A112" i="16"/>
  <c r="H112" i="16"/>
  <c r="G112" i="16"/>
  <c r="F112" i="16"/>
  <c r="I112" i="16"/>
  <c r="M194" i="16"/>
  <c r="K194" i="16"/>
  <c r="N194" i="16"/>
  <c r="J194" i="16"/>
  <c r="H194" i="16"/>
  <c r="G194" i="16"/>
  <c r="E194" i="16"/>
  <c r="F194" i="16"/>
  <c r="D194" i="16"/>
  <c r="A194" i="16"/>
  <c r="L194" i="16"/>
  <c r="B194" i="16"/>
  <c r="I194" i="16"/>
  <c r="C194" i="16"/>
  <c r="N4" i="16"/>
  <c r="M4" i="16"/>
  <c r="K4" i="16"/>
  <c r="A4" i="16"/>
  <c r="E4" i="16"/>
  <c r="D4" i="16"/>
  <c r="C4" i="16"/>
  <c r="B4" i="16"/>
  <c r="G4" i="16"/>
  <c r="L4" i="16"/>
  <c r="J4" i="16"/>
  <c r="I4" i="16"/>
  <c r="F4" i="16"/>
  <c r="H4" i="16"/>
  <c r="L18" i="6"/>
  <c r="K18" i="6" s="1"/>
  <c r="H18" i="6"/>
  <c r="G18" i="6"/>
  <c r="F18" i="6"/>
  <c r="E18" i="6"/>
  <c r="C18" i="6"/>
  <c r="D18" i="6"/>
  <c r="A18" i="6"/>
  <c r="P18" i="6"/>
  <c r="O18" i="6"/>
  <c r="I18" i="6"/>
  <c r="N18" i="6"/>
  <c r="M18" i="6"/>
  <c r="J18" i="6"/>
  <c r="Q18" i="6"/>
  <c r="A102" i="16"/>
  <c r="M102" i="16"/>
  <c r="L102" i="16"/>
  <c r="K102" i="16"/>
  <c r="I102" i="16"/>
  <c r="G102" i="16"/>
  <c r="F102" i="16"/>
  <c r="E102" i="16"/>
  <c r="D102" i="16"/>
  <c r="C102" i="16"/>
  <c r="N102" i="16"/>
  <c r="J102" i="16"/>
  <c r="H102" i="16"/>
  <c r="B102" i="16"/>
  <c r="A166" i="16"/>
  <c r="I166" i="16"/>
  <c r="H166" i="16"/>
  <c r="G166" i="16"/>
  <c r="E166" i="16"/>
  <c r="C166" i="16"/>
  <c r="B166" i="16"/>
  <c r="K166" i="16"/>
  <c r="L166" i="16"/>
  <c r="M166" i="16"/>
  <c r="J166" i="16"/>
  <c r="N166" i="16"/>
  <c r="F166" i="16"/>
  <c r="D166" i="16"/>
  <c r="D25" i="16"/>
  <c r="H25" i="16"/>
  <c r="G25" i="16"/>
  <c r="F25" i="16"/>
  <c r="C25" i="16"/>
  <c r="A25" i="16"/>
  <c r="N25" i="16"/>
  <c r="M25" i="16"/>
  <c r="K25" i="16"/>
  <c r="J25" i="16"/>
  <c r="I25" i="16"/>
  <c r="L25" i="16"/>
  <c r="E25" i="16"/>
  <c r="B25" i="16"/>
  <c r="K48" i="16"/>
  <c r="D48" i="16"/>
  <c r="C48" i="16"/>
  <c r="B48" i="16"/>
  <c r="G48" i="16"/>
  <c r="F48" i="16"/>
  <c r="E48" i="16"/>
  <c r="A48" i="16"/>
  <c r="N48" i="16"/>
  <c r="M48" i="16"/>
  <c r="H48" i="16"/>
  <c r="L48" i="16"/>
  <c r="J48" i="16"/>
  <c r="I48" i="16"/>
  <c r="H109" i="16"/>
  <c r="K109" i="16"/>
  <c r="J109" i="16"/>
  <c r="I109" i="16"/>
  <c r="F109" i="16"/>
  <c r="N109" i="16"/>
  <c r="M109" i="16"/>
  <c r="A109" i="16"/>
  <c r="L109" i="16"/>
  <c r="G109" i="16"/>
  <c r="C109" i="16"/>
  <c r="E109" i="16"/>
  <c r="D109" i="16"/>
  <c r="B109" i="16"/>
  <c r="G156" i="16"/>
  <c r="E156" i="16"/>
  <c r="D156" i="16"/>
  <c r="C156" i="16"/>
  <c r="A156" i="16"/>
  <c r="M156" i="16"/>
  <c r="N156" i="16"/>
  <c r="L156" i="16"/>
  <c r="H156" i="16"/>
  <c r="F156" i="16"/>
  <c r="B156" i="16"/>
  <c r="K156" i="16"/>
  <c r="J156" i="16"/>
  <c r="I156" i="16"/>
  <c r="C72" i="16"/>
  <c r="B72" i="16"/>
  <c r="A72" i="16"/>
  <c r="E72" i="16"/>
  <c r="D72" i="16"/>
  <c r="J72" i="16"/>
  <c r="I72" i="16"/>
  <c r="H72" i="16"/>
  <c r="G72" i="16"/>
  <c r="F72" i="16"/>
  <c r="K72" i="16"/>
  <c r="N72" i="16"/>
  <c r="M72" i="16"/>
  <c r="L72" i="16"/>
  <c r="D137" i="16"/>
  <c r="M137" i="16"/>
  <c r="G137" i="16"/>
  <c r="F137" i="16"/>
  <c r="E137" i="16"/>
  <c r="C137" i="16"/>
  <c r="B137" i="16"/>
  <c r="L137" i="16"/>
  <c r="N137" i="16"/>
  <c r="K137" i="16"/>
  <c r="I137" i="16"/>
  <c r="H137" i="16"/>
  <c r="A137" i="16"/>
  <c r="J137" i="16"/>
  <c r="C200" i="16"/>
  <c r="A200" i="16"/>
  <c r="N200" i="16"/>
  <c r="M200" i="16"/>
  <c r="L200" i="16"/>
  <c r="K200" i="16"/>
  <c r="J200" i="16"/>
  <c r="D200" i="16"/>
  <c r="B200" i="16"/>
  <c r="F200" i="16"/>
  <c r="E200" i="16"/>
  <c r="I200" i="16"/>
  <c r="H200" i="16"/>
  <c r="G200" i="16"/>
  <c r="N20" i="16"/>
  <c r="M20" i="16"/>
  <c r="L20" i="16"/>
  <c r="J20" i="16"/>
  <c r="H20" i="16"/>
  <c r="G20" i="16"/>
  <c r="F20" i="16"/>
  <c r="E20" i="16"/>
  <c r="D20" i="16"/>
  <c r="I20" i="16"/>
  <c r="C20" i="16"/>
  <c r="B20" i="16"/>
  <c r="A20" i="16"/>
  <c r="K20" i="16"/>
  <c r="J52" i="6"/>
  <c r="I52" i="6"/>
  <c r="F52" i="6"/>
  <c r="A52" i="6"/>
  <c r="Q52" i="6"/>
  <c r="P52" i="6"/>
  <c r="H52" i="6"/>
  <c r="G52" i="6"/>
  <c r="C52" i="6"/>
  <c r="E52" i="6"/>
  <c r="D52" i="6"/>
  <c r="N52" i="6"/>
  <c r="M52" i="6"/>
  <c r="L52" i="6"/>
  <c r="K52" i="6" s="1"/>
  <c r="O52" i="6"/>
  <c r="M49" i="6"/>
  <c r="L49" i="6"/>
  <c r="K49" i="6" s="1"/>
  <c r="I49" i="6"/>
  <c r="N49" i="6"/>
  <c r="H49" i="6"/>
  <c r="J49" i="6"/>
  <c r="G49" i="6"/>
  <c r="C49" i="6"/>
  <c r="A49" i="6"/>
  <c r="D49" i="6"/>
  <c r="P49" i="6"/>
  <c r="O49" i="6"/>
  <c r="F49" i="6"/>
  <c r="Q49" i="6"/>
  <c r="E49" i="6"/>
  <c r="L34" i="6"/>
  <c r="K34" i="6" s="1"/>
  <c r="H34" i="6"/>
  <c r="M34" i="6"/>
  <c r="J34" i="6"/>
  <c r="G34" i="6"/>
  <c r="I34" i="6"/>
  <c r="F34" i="6"/>
  <c r="A34" i="6"/>
  <c r="O34" i="6"/>
  <c r="Q34" i="6"/>
  <c r="N34" i="6"/>
  <c r="C34" i="6"/>
  <c r="E34" i="6"/>
  <c r="D34" i="6"/>
  <c r="P34" i="6"/>
  <c r="C40" i="16"/>
  <c r="E40" i="16"/>
  <c r="D40" i="16"/>
  <c r="B40" i="16"/>
  <c r="G40" i="16"/>
  <c r="F40" i="16"/>
  <c r="A40" i="16"/>
  <c r="L40" i="16"/>
  <c r="K40" i="16"/>
  <c r="N40" i="16"/>
  <c r="M40" i="16"/>
  <c r="J40" i="16"/>
  <c r="I40" i="16"/>
  <c r="H40" i="16"/>
  <c r="J175" i="16"/>
  <c r="K175" i="16"/>
  <c r="I175" i="16"/>
  <c r="H175" i="16"/>
  <c r="F175" i="16"/>
  <c r="D175" i="16"/>
  <c r="C175" i="16"/>
  <c r="B175" i="16"/>
  <c r="A175" i="16"/>
  <c r="M175" i="16"/>
  <c r="G175" i="16"/>
  <c r="L175" i="16"/>
  <c r="N175" i="16"/>
  <c r="E175" i="16"/>
  <c r="M34" i="16"/>
  <c r="I34" i="16"/>
  <c r="H34" i="16"/>
  <c r="G34" i="16"/>
  <c r="E34" i="16"/>
  <c r="C34" i="16"/>
  <c r="B34" i="16"/>
  <c r="A34" i="16"/>
  <c r="F34" i="16"/>
  <c r="D34" i="16"/>
  <c r="N34" i="16"/>
  <c r="L34" i="16"/>
  <c r="K34" i="16"/>
  <c r="J34" i="16"/>
  <c r="H77" i="16"/>
  <c r="M77" i="16"/>
  <c r="L77" i="16"/>
  <c r="K77" i="16"/>
  <c r="I77" i="16"/>
  <c r="B77" i="16"/>
  <c r="A77" i="16"/>
  <c r="F77" i="16"/>
  <c r="E77" i="16"/>
  <c r="C77" i="16"/>
  <c r="J77" i="16"/>
  <c r="G77" i="16"/>
  <c r="N77" i="16"/>
  <c r="D77" i="16"/>
  <c r="N115" i="16"/>
  <c r="F115" i="16"/>
  <c r="E115" i="16"/>
  <c r="D115" i="16"/>
  <c r="B115" i="16"/>
  <c r="M115" i="16"/>
  <c r="L115" i="16"/>
  <c r="J115" i="16"/>
  <c r="K115" i="16"/>
  <c r="I115" i="16"/>
  <c r="A115" i="16"/>
  <c r="H115" i="16"/>
  <c r="G115" i="16"/>
  <c r="C115" i="16"/>
  <c r="K192" i="16"/>
  <c r="I192" i="16"/>
  <c r="H192" i="16"/>
  <c r="G192" i="16"/>
  <c r="F192" i="16"/>
  <c r="D192" i="16"/>
  <c r="N192" i="16"/>
  <c r="M192" i="16"/>
  <c r="L192" i="16"/>
  <c r="J192" i="16"/>
  <c r="E192" i="16"/>
  <c r="C192" i="16"/>
  <c r="B192" i="16"/>
  <c r="A192" i="16"/>
  <c r="K80" i="16"/>
  <c r="B80" i="16"/>
  <c r="A80" i="16"/>
  <c r="N80" i="16"/>
  <c r="M80" i="16"/>
  <c r="I80" i="16"/>
  <c r="G80" i="16"/>
  <c r="F80" i="16"/>
  <c r="L80" i="16"/>
  <c r="J80" i="16"/>
  <c r="H80" i="16"/>
  <c r="E80" i="16"/>
  <c r="D80" i="16"/>
  <c r="C80" i="16"/>
  <c r="L145" i="16"/>
  <c r="M145" i="16"/>
  <c r="B145" i="16"/>
  <c r="A145" i="16"/>
  <c r="G145" i="16"/>
  <c r="F145" i="16"/>
  <c r="E145" i="16"/>
  <c r="D145" i="16"/>
  <c r="C145" i="16"/>
  <c r="I145" i="16"/>
  <c r="N145" i="16"/>
  <c r="K145" i="16"/>
  <c r="H145" i="16"/>
  <c r="J145" i="16"/>
  <c r="G12" i="16"/>
  <c r="N12" i="16"/>
  <c r="M12" i="16"/>
  <c r="K12" i="16"/>
  <c r="J12" i="16"/>
  <c r="L12" i="16"/>
  <c r="I12" i="16"/>
  <c r="A12" i="16"/>
  <c r="H12" i="16"/>
  <c r="F12" i="16"/>
  <c r="D12" i="16"/>
  <c r="B12" i="16"/>
  <c r="E12" i="16"/>
  <c r="C12" i="16"/>
  <c r="M36" i="16"/>
  <c r="L36" i="16"/>
  <c r="K36" i="16"/>
  <c r="I36" i="16"/>
  <c r="D36" i="16"/>
  <c r="N36" i="16"/>
  <c r="J36" i="16"/>
  <c r="G36" i="16"/>
  <c r="F36" i="16"/>
  <c r="E36" i="16"/>
  <c r="H36" i="16"/>
  <c r="C36" i="16"/>
  <c r="B36" i="16"/>
  <c r="A36" i="16"/>
  <c r="K96" i="16"/>
  <c r="A96" i="16"/>
  <c r="N96" i="16"/>
  <c r="G96" i="16"/>
  <c r="F96" i="16"/>
  <c r="D96" i="16"/>
  <c r="E96" i="16"/>
  <c r="C96" i="16"/>
  <c r="M96" i="16"/>
  <c r="L96" i="16"/>
  <c r="B96" i="16"/>
  <c r="J96" i="16"/>
  <c r="I96" i="16"/>
  <c r="H96" i="16"/>
  <c r="E154" i="16"/>
  <c r="A154" i="16"/>
  <c r="N154" i="16"/>
  <c r="C154" i="16"/>
  <c r="B154" i="16"/>
  <c r="G154" i="16"/>
  <c r="F154" i="16"/>
  <c r="D154" i="16"/>
  <c r="M154" i="16"/>
  <c r="L154" i="16"/>
  <c r="K154" i="16"/>
  <c r="J154" i="16"/>
  <c r="I154" i="16"/>
  <c r="H154" i="16"/>
  <c r="L49" i="16"/>
  <c r="F49" i="16"/>
  <c r="E49" i="16"/>
  <c r="D49" i="16"/>
  <c r="B49" i="16"/>
  <c r="H49" i="16"/>
  <c r="G49" i="16"/>
  <c r="A49" i="16"/>
  <c r="C49" i="16"/>
  <c r="N49" i="16"/>
  <c r="M49" i="16"/>
  <c r="K49" i="16"/>
  <c r="J49" i="16"/>
  <c r="I49" i="16"/>
  <c r="K16" i="16"/>
  <c r="F16" i="16"/>
  <c r="E16" i="16"/>
  <c r="D16" i="16"/>
  <c r="B16" i="16"/>
  <c r="N16" i="16"/>
  <c r="J16" i="16"/>
  <c r="I16" i="16"/>
  <c r="M16" i="16"/>
  <c r="L16" i="16"/>
  <c r="H16" i="16"/>
  <c r="G16" i="16"/>
  <c r="C16" i="16"/>
  <c r="A16" i="16"/>
  <c r="L85" i="16"/>
  <c r="K85" i="16"/>
  <c r="J85" i="16"/>
  <c r="H85" i="16"/>
  <c r="N85" i="16"/>
  <c r="M85" i="16"/>
  <c r="I85" i="16"/>
  <c r="G85" i="16"/>
  <c r="F85" i="16"/>
  <c r="E85" i="16"/>
  <c r="D85" i="16"/>
  <c r="B85" i="16"/>
  <c r="C85" i="16"/>
  <c r="A85" i="16"/>
  <c r="N83" i="16"/>
  <c r="H83" i="16"/>
  <c r="G83" i="16"/>
  <c r="F83" i="16"/>
  <c r="D83" i="16"/>
  <c r="J83" i="16"/>
  <c r="I83" i="16"/>
  <c r="E83" i="16"/>
  <c r="C83" i="16"/>
  <c r="A83" i="16"/>
  <c r="B83" i="16"/>
  <c r="K83" i="16"/>
  <c r="M83" i="16"/>
  <c r="L83" i="16"/>
  <c r="D121" i="16"/>
  <c r="A121" i="16"/>
  <c r="N121" i="16"/>
  <c r="M121" i="16"/>
  <c r="L121" i="16"/>
  <c r="E121" i="16"/>
  <c r="C121" i="16"/>
  <c r="B121" i="16"/>
  <c r="H121" i="16"/>
  <c r="G121" i="16"/>
  <c r="F121" i="16"/>
  <c r="K121" i="16"/>
  <c r="J121" i="16"/>
  <c r="I121" i="16"/>
  <c r="D9" i="16"/>
  <c r="I9" i="16"/>
  <c r="H9" i="16"/>
  <c r="G9" i="16"/>
  <c r="E9" i="16"/>
  <c r="N9" i="16"/>
  <c r="L9" i="16"/>
  <c r="M9" i="16"/>
  <c r="K9" i="16"/>
  <c r="J9" i="16"/>
  <c r="A9" i="16"/>
  <c r="F9" i="16"/>
  <c r="C9" i="16"/>
  <c r="B9" i="16"/>
  <c r="D105" i="16"/>
  <c r="B105" i="16"/>
  <c r="A105" i="16"/>
  <c r="I105" i="16"/>
  <c r="H105" i="16"/>
  <c r="G105" i="16"/>
  <c r="F105" i="16"/>
  <c r="E105" i="16"/>
  <c r="L105" i="16"/>
  <c r="K105" i="16"/>
  <c r="J105" i="16"/>
  <c r="C105" i="16"/>
  <c r="N105" i="16"/>
  <c r="M105" i="16"/>
  <c r="E170" i="16"/>
  <c r="M170" i="16"/>
  <c r="K170" i="16"/>
  <c r="J170" i="16"/>
  <c r="I170" i="16"/>
  <c r="H170" i="16"/>
  <c r="G170" i="16"/>
  <c r="N170" i="16"/>
  <c r="D170" i="16"/>
  <c r="L170" i="16"/>
  <c r="C170" i="16"/>
  <c r="B170" i="16"/>
  <c r="A170" i="16"/>
  <c r="F170" i="16"/>
  <c r="N37" i="16"/>
  <c r="M37" i="16"/>
  <c r="K37" i="16"/>
  <c r="E37" i="16"/>
  <c r="D37" i="16"/>
  <c r="B37" i="16"/>
  <c r="C37" i="16"/>
  <c r="A37" i="16"/>
  <c r="G37" i="16"/>
  <c r="F37" i="16"/>
  <c r="L37" i="16"/>
  <c r="I37" i="16"/>
  <c r="H37" i="16"/>
  <c r="J37" i="16"/>
  <c r="L52" i="16"/>
  <c r="K52" i="16"/>
  <c r="J52" i="16"/>
  <c r="H52" i="16"/>
  <c r="F52" i="16"/>
  <c r="E52" i="16"/>
  <c r="C52" i="16"/>
  <c r="D52" i="16"/>
  <c r="B52" i="16"/>
  <c r="N52" i="16"/>
  <c r="M52" i="16"/>
  <c r="I52" i="16"/>
  <c r="G52" i="16"/>
  <c r="A52" i="16"/>
  <c r="H61" i="16"/>
  <c r="N61" i="16"/>
  <c r="M61" i="16"/>
  <c r="L61" i="16"/>
  <c r="J61" i="16"/>
  <c r="G61" i="16"/>
  <c r="F61" i="16"/>
  <c r="D61" i="16"/>
  <c r="E61" i="16"/>
  <c r="C61" i="16"/>
  <c r="K61" i="16"/>
  <c r="I61" i="16"/>
  <c r="B61" i="16"/>
  <c r="A61" i="16"/>
  <c r="C152" i="16"/>
  <c r="N152" i="16"/>
  <c r="M152" i="16"/>
  <c r="L152" i="16"/>
  <c r="J152" i="16"/>
  <c r="H152" i="16"/>
  <c r="G152" i="16"/>
  <c r="E152" i="16"/>
  <c r="F152" i="16"/>
  <c r="D152" i="16"/>
  <c r="A152" i="16"/>
  <c r="I152" i="16"/>
  <c r="K152" i="16"/>
  <c r="B152" i="16"/>
  <c r="I126" i="16"/>
  <c r="L126" i="16"/>
  <c r="K126" i="16"/>
  <c r="J126" i="16"/>
  <c r="G126" i="16"/>
  <c r="N126" i="16"/>
  <c r="M126" i="16"/>
  <c r="F126" i="16"/>
  <c r="H126" i="16"/>
  <c r="E126" i="16"/>
  <c r="B126" i="16"/>
  <c r="A126" i="16"/>
  <c r="C126" i="16"/>
  <c r="D126" i="16"/>
  <c r="H173" i="16"/>
  <c r="F173" i="16"/>
  <c r="E173" i="16"/>
  <c r="D173" i="16"/>
  <c r="B173" i="16"/>
  <c r="M173" i="16"/>
  <c r="L173" i="16"/>
  <c r="J173" i="16"/>
  <c r="K173" i="16"/>
  <c r="I173" i="16"/>
  <c r="A173" i="16"/>
  <c r="N173" i="16"/>
  <c r="C173" i="16"/>
  <c r="G173" i="16"/>
  <c r="N131" i="16"/>
  <c r="E131" i="16"/>
  <c r="D131" i="16"/>
  <c r="C131" i="16"/>
  <c r="A131" i="16"/>
  <c r="G131" i="16"/>
  <c r="F131" i="16"/>
  <c r="B131" i="16"/>
  <c r="M131" i="16"/>
  <c r="L131" i="16"/>
  <c r="J131" i="16"/>
  <c r="I131" i="16"/>
  <c r="H131" i="16"/>
  <c r="K131" i="16"/>
  <c r="C168" i="16"/>
  <c r="M168" i="16"/>
  <c r="L168" i="16"/>
  <c r="K168" i="16"/>
  <c r="I168" i="16"/>
  <c r="N168" i="16"/>
  <c r="G168" i="16"/>
  <c r="J168" i="16"/>
  <c r="H168" i="16"/>
  <c r="B168" i="16"/>
  <c r="E168" i="16"/>
  <c r="D168" i="16"/>
  <c r="F168" i="16"/>
  <c r="A168" i="16"/>
  <c r="F187" i="16"/>
  <c r="D187" i="16"/>
  <c r="K187" i="16"/>
  <c r="J187" i="16"/>
  <c r="I187" i="16"/>
  <c r="G187" i="16"/>
  <c r="N187" i="16"/>
  <c r="M187" i="16"/>
  <c r="L187" i="16"/>
  <c r="H187" i="16"/>
  <c r="E187" i="16"/>
  <c r="B187" i="16"/>
  <c r="A187" i="16"/>
  <c r="C187" i="16"/>
  <c r="M50" i="16"/>
  <c r="H50" i="16"/>
  <c r="G50" i="16"/>
  <c r="F50" i="16"/>
  <c r="D50" i="16"/>
  <c r="N50" i="16"/>
  <c r="L50" i="16"/>
  <c r="K50" i="16"/>
  <c r="J50" i="16"/>
  <c r="E50" i="16"/>
  <c r="C50" i="16"/>
  <c r="B50" i="16"/>
  <c r="A50" i="16"/>
  <c r="I50" i="16"/>
  <c r="M146" i="16"/>
  <c r="B146" i="16"/>
  <c r="A146" i="16"/>
  <c r="H146" i="16"/>
  <c r="G146" i="16"/>
  <c r="E146" i="16"/>
  <c r="F146" i="16"/>
  <c r="D146" i="16"/>
  <c r="N146" i="16"/>
  <c r="K146" i="16"/>
  <c r="J146" i="16"/>
  <c r="L146" i="16"/>
  <c r="C146" i="16"/>
  <c r="I146" i="16"/>
  <c r="N21" i="16"/>
  <c r="L21" i="16"/>
  <c r="K21" i="16"/>
  <c r="M21" i="16"/>
  <c r="J21" i="16"/>
  <c r="I21" i="16"/>
  <c r="H21" i="16"/>
  <c r="D21" i="16"/>
  <c r="G21" i="16"/>
  <c r="F21" i="16"/>
  <c r="B21" i="16"/>
  <c r="E21" i="16"/>
  <c r="C21" i="16"/>
  <c r="A21" i="16"/>
  <c r="I78" i="16"/>
  <c r="N78" i="16"/>
  <c r="M78" i="16"/>
  <c r="K78" i="16"/>
  <c r="D78" i="16"/>
  <c r="C78" i="16"/>
  <c r="B78" i="16"/>
  <c r="A78" i="16"/>
  <c r="G78" i="16"/>
  <c r="L78" i="16"/>
  <c r="H78" i="16"/>
  <c r="F78" i="16"/>
  <c r="J78" i="16"/>
  <c r="E78" i="16"/>
  <c r="I100" i="16"/>
  <c r="H100" i="16"/>
  <c r="G100" i="16"/>
  <c r="E100" i="16"/>
  <c r="N100" i="16"/>
  <c r="L100" i="16"/>
  <c r="M100" i="16"/>
  <c r="K100" i="16"/>
  <c r="F100" i="16"/>
  <c r="D100" i="16"/>
  <c r="C100" i="16"/>
  <c r="B100" i="16"/>
  <c r="J100" i="16"/>
  <c r="A100" i="16"/>
  <c r="D10" i="6"/>
  <c r="C10" i="6"/>
  <c r="P10" i="6"/>
  <c r="G10" i="6"/>
  <c r="F10" i="6"/>
  <c r="E10" i="6"/>
  <c r="A10" i="6"/>
  <c r="J10" i="6"/>
  <c r="I10" i="6"/>
  <c r="H10" i="6"/>
  <c r="N10" i="6"/>
  <c r="M10" i="6"/>
  <c r="L10" i="6"/>
  <c r="K10" i="6" s="1"/>
  <c r="O10" i="6"/>
  <c r="Q10" i="6"/>
  <c r="L193" i="16"/>
  <c r="J193" i="16"/>
  <c r="M193" i="16"/>
  <c r="K193" i="16"/>
  <c r="I193" i="16"/>
  <c r="G193" i="16"/>
  <c r="A193" i="16"/>
  <c r="E193" i="16"/>
  <c r="D193" i="16"/>
  <c r="C193" i="16"/>
  <c r="B193" i="16"/>
  <c r="N193" i="16"/>
  <c r="H193" i="16"/>
  <c r="F193" i="16"/>
  <c r="D57" i="16"/>
  <c r="F57" i="16"/>
  <c r="E57" i="16"/>
  <c r="C57" i="16"/>
  <c r="A57" i="16"/>
  <c r="G57" i="16"/>
  <c r="B57" i="16"/>
  <c r="J57" i="16"/>
  <c r="H57" i="16"/>
  <c r="K57" i="16"/>
  <c r="I57" i="16"/>
  <c r="N57" i="16"/>
  <c r="M57" i="16"/>
  <c r="L57" i="16"/>
  <c r="I142" i="16"/>
  <c r="K142" i="16"/>
  <c r="J142" i="16"/>
  <c r="H142" i="16"/>
  <c r="F142" i="16"/>
  <c r="G142" i="16"/>
  <c r="E142" i="16"/>
  <c r="C142" i="16"/>
  <c r="N142" i="16"/>
  <c r="M142" i="16"/>
  <c r="D142" i="16"/>
  <c r="L142" i="16"/>
  <c r="A142" i="16"/>
  <c r="B142" i="16"/>
  <c r="I174" i="16"/>
  <c r="H174" i="16"/>
  <c r="G174" i="16"/>
  <c r="F174" i="16"/>
  <c r="D174" i="16"/>
  <c r="B174" i="16"/>
  <c r="A174" i="16"/>
  <c r="N174" i="16"/>
  <c r="M174" i="16"/>
  <c r="E174" i="16"/>
  <c r="L174" i="16"/>
  <c r="K174" i="16"/>
  <c r="C174" i="16"/>
  <c r="J174" i="16"/>
  <c r="L33" i="16"/>
  <c r="G33" i="16"/>
  <c r="F33" i="16"/>
  <c r="E33" i="16"/>
  <c r="C33" i="16"/>
  <c r="N33" i="16"/>
  <c r="M33" i="16"/>
  <c r="K33" i="16"/>
  <c r="J33" i="16"/>
  <c r="A33" i="16"/>
  <c r="I33" i="16"/>
  <c r="H33" i="16"/>
  <c r="D33" i="16"/>
  <c r="B33" i="16"/>
  <c r="E106" i="16"/>
  <c r="D106" i="16"/>
  <c r="C106" i="16"/>
  <c r="B106" i="16"/>
  <c r="N106" i="16"/>
  <c r="M106" i="16"/>
  <c r="L106" i="16"/>
  <c r="K106" i="16"/>
  <c r="J106" i="16"/>
  <c r="F106" i="16"/>
  <c r="A106" i="16"/>
  <c r="I106" i="16"/>
  <c r="H106" i="16"/>
  <c r="G106" i="16"/>
  <c r="F171" i="16"/>
  <c r="B171" i="16"/>
  <c r="A171" i="16"/>
  <c r="N171" i="16"/>
  <c r="M171" i="16"/>
  <c r="K171" i="16"/>
  <c r="J171" i="16"/>
  <c r="I171" i="16"/>
  <c r="H171" i="16"/>
  <c r="C171" i="16"/>
  <c r="G171" i="16"/>
  <c r="E171" i="16"/>
  <c r="D171" i="16"/>
  <c r="L171" i="16"/>
  <c r="H29" i="16"/>
  <c r="N29" i="16"/>
  <c r="L29" i="16"/>
  <c r="J29" i="16"/>
  <c r="I29" i="16"/>
  <c r="F29" i="16"/>
  <c r="G29" i="16"/>
  <c r="E29" i="16"/>
  <c r="M29" i="16"/>
  <c r="K29" i="16"/>
  <c r="B29" i="16"/>
  <c r="D29" i="16"/>
  <c r="A29" i="16"/>
  <c r="C29" i="16"/>
  <c r="B103" i="16"/>
  <c r="N103" i="16"/>
  <c r="M103" i="16"/>
  <c r="K103" i="16"/>
  <c r="J103" i="16"/>
  <c r="L103" i="16"/>
  <c r="I103" i="16"/>
  <c r="F103" i="16"/>
  <c r="E103" i="16"/>
  <c r="D103" i="16"/>
  <c r="C103" i="16"/>
  <c r="A103" i="16"/>
  <c r="H103" i="16"/>
  <c r="G103" i="16"/>
  <c r="H116" i="16"/>
  <c r="G116" i="16"/>
  <c r="F116" i="16"/>
  <c r="D116" i="16"/>
  <c r="B116" i="16"/>
  <c r="A116" i="16"/>
  <c r="L116" i="16"/>
  <c r="K116" i="16"/>
  <c r="J116" i="16"/>
  <c r="I116" i="16"/>
  <c r="E116" i="16"/>
  <c r="C116" i="16"/>
  <c r="N116" i="16"/>
  <c r="M116" i="16"/>
  <c r="E41" i="6"/>
  <c r="D41" i="6"/>
  <c r="Q41" i="6"/>
  <c r="A41" i="6"/>
  <c r="J41" i="6"/>
  <c r="I41" i="6"/>
  <c r="H41" i="6"/>
  <c r="G41" i="6"/>
  <c r="N41" i="6"/>
  <c r="P41" i="6"/>
  <c r="O41" i="6"/>
  <c r="F41" i="6"/>
  <c r="M41" i="6"/>
  <c r="C41" i="6"/>
  <c r="L41" i="6"/>
  <c r="K41" i="6" s="1"/>
  <c r="A86" i="16"/>
  <c r="N86" i="16"/>
  <c r="M86" i="16"/>
  <c r="L86" i="16"/>
  <c r="J86" i="16"/>
  <c r="B86" i="16"/>
  <c r="K86" i="16"/>
  <c r="I86" i="16"/>
  <c r="F86" i="16"/>
  <c r="E86" i="16"/>
  <c r="D86" i="16"/>
  <c r="C86" i="16"/>
  <c r="G86" i="16"/>
  <c r="H86" i="16"/>
  <c r="J117" i="16"/>
  <c r="I117" i="16"/>
  <c r="H117" i="16"/>
  <c r="F117" i="16"/>
  <c r="L117" i="16"/>
  <c r="K117" i="16"/>
  <c r="G117" i="16"/>
  <c r="E117" i="16"/>
  <c r="D117" i="16"/>
  <c r="C117" i="16"/>
  <c r="N117" i="16"/>
  <c r="M117" i="16"/>
  <c r="B117" i="16"/>
  <c r="A117" i="16"/>
  <c r="B23" i="16"/>
  <c r="D23" i="16"/>
  <c r="C23" i="16"/>
  <c r="A23" i="16"/>
  <c r="J23" i="16"/>
  <c r="I23" i="16"/>
  <c r="H23" i="16"/>
  <c r="G23" i="16"/>
  <c r="F23" i="16"/>
  <c r="N23" i="16"/>
  <c r="M23" i="16"/>
  <c r="L23" i="16"/>
  <c r="K23" i="16"/>
  <c r="E23" i="16"/>
  <c r="D185" i="16"/>
  <c r="B185" i="16"/>
  <c r="E185" i="16"/>
  <c r="C185" i="16"/>
  <c r="A185" i="16"/>
  <c r="J185" i="16"/>
  <c r="I185" i="16"/>
  <c r="H185" i="16"/>
  <c r="G185" i="16"/>
  <c r="F185" i="16"/>
  <c r="N185" i="16"/>
  <c r="M185" i="16"/>
  <c r="L185" i="16"/>
  <c r="K185" i="16"/>
  <c r="A118" i="16"/>
  <c r="L118" i="16"/>
  <c r="K118" i="16"/>
  <c r="J118" i="16"/>
  <c r="H118" i="16"/>
  <c r="N118" i="16"/>
  <c r="M118" i="16"/>
  <c r="I118" i="16"/>
  <c r="D118" i="16"/>
  <c r="G118" i="16"/>
  <c r="F118" i="16"/>
  <c r="B118" i="16"/>
  <c r="E118" i="16"/>
  <c r="C118" i="16"/>
  <c r="B135" i="16"/>
  <c r="M135" i="16"/>
  <c r="L135" i="16"/>
  <c r="K135" i="16"/>
  <c r="I135" i="16"/>
  <c r="N135" i="16"/>
  <c r="H135" i="16"/>
  <c r="J135" i="16"/>
  <c r="G135" i="16"/>
  <c r="E135" i="16"/>
  <c r="F135" i="16"/>
  <c r="A135" i="16"/>
  <c r="D135" i="16"/>
  <c r="C135" i="16"/>
  <c r="N195" i="16"/>
  <c r="L195" i="16"/>
  <c r="A195" i="16"/>
  <c r="M195" i="16"/>
  <c r="K195" i="16"/>
  <c r="D195" i="16"/>
  <c r="C195" i="16"/>
  <c r="B195" i="16"/>
  <c r="G195" i="16"/>
  <c r="F195" i="16"/>
  <c r="J195" i="16"/>
  <c r="I195" i="16"/>
  <c r="E195" i="16"/>
  <c r="H195" i="16"/>
  <c r="A54" i="16"/>
  <c r="N54" i="16"/>
  <c r="L54" i="16"/>
  <c r="B54" i="16"/>
  <c r="K54" i="16"/>
  <c r="J54" i="16"/>
  <c r="D54" i="16"/>
  <c r="I54" i="16"/>
  <c r="H54" i="16"/>
  <c r="C54" i="16"/>
  <c r="G54" i="16"/>
  <c r="F54" i="16"/>
  <c r="E54" i="16"/>
  <c r="M54" i="16"/>
  <c r="J111" i="16"/>
  <c r="N111" i="16"/>
  <c r="M111" i="16"/>
  <c r="K111" i="16"/>
  <c r="H111" i="16"/>
  <c r="G111" i="16"/>
  <c r="E111" i="16"/>
  <c r="F111" i="16"/>
  <c r="D111" i="16"/>
  <c r="C111" i="16"/>
  <c r="L111" i="16"/>
  <c r="B111" i="16"/>
  <c r="I111" i="16"/>
  <c r="A111" i="16"/>
  <c r="G132" i="16"/>
  <c r="F132" i="16"/>
  <c r="E132" i="16"/>
  <c r="C132" i="16"/>
  <c r="M132" i="16"/>
  <c r="L132" i="16"/>
  <c r="J132" i="16"/>
  <c r="K132" i="16"/>
  <c r="I132" i="16"/>
  <c r="A132" i="16"/>
  <c r="N132" i="16"/>
  <c r="H132" i="16"/>
  <c r="D132" i="16"/>
  <c r="B132" i="16"/>
  <c r="K64" i="16"/>
  <c r="C64" i="16"/>
  <c r="B64" i="16"/>
  <c r="A64" i="16"/>
  <c r="I64" i="16"/>
  <c r="H64" i="16"/>
  <c r="F64" i="16"/>
  <c r="G64" i="16"/>
  <c r="E64" i="16"/>
  <c r="N64" i="16"/>
  <c r="J64" i="16"/>
  <c r="M64" i="16"/>
  <c r="D64" i="16"/>
  <c r="L64" i="16"/>
  <c r="K32" i="16"/>
  <c r="E32" i="16"/>
  <c r="D32" i="16"/>
  <c r="C32" i="16"/>
  <c r="A32" i="16"/>
  <c r="L32" i="16"/>
  <c r="J32" i="16"/>
  <c r="I32" i="16"/>
  <c r="H32" i="16"/>
  <c r="G32" i="16"/>
  <c r="N32" i="16"/>
  <c r="M32" i="16"/>
  <c r="F32" i="16"/>
  <c r="B32" i="16"/>
  <c r="F27" i="16"/>
  <c r="L27" i="16"/>
  <c r="K27" i="16"/>
  <c r="J27" i="16"/>
  <c r="H27" i="16"/>
  <c r="N27" i="16"/>
  <c r="E27" i="16"/>
  <c r="G27" i="16"/>
  <c r="D27" i="16"/>
  <c r="M27" i="16"/>
  <c r="I27" i="16"/>
  <c r="C27" i="16"/>
  <c r="B27" i="16"/>
  <c r="A27" i="16"/>
  <c r="I190" i="16"/>
  <c r="G190" i="16"/>
  <c r="B190" i="16"/>
  <c r="A190" i="16"/>
  <c r="N190" i="16"/>
  <c r="F190" i="16"/>
  <c r="E190" i="16"/>
  <c r="D190" i="16"/>
  <c r="C190" i="16"/>
  <c r="M190" i="16"/>
  <c r="L190" i="16"/>
  <c r="H190" i="16"/>
  <c r="K190" i="16"/>
  <c r="J190" i="16"/>
  <c r="H141" i="16"/>
  <c r="I141" i="16"/>
  <c r="G141" i="16"/>
  <c r="F141" i="16"/>
  <c r="D141" i="16"/>
  <c r="N141" i="16"/>
  <c r="M141" i="16"/>
  <c r="L141" i="16"/>
  <c r="K141" i="16"/>
  <c r="J141" i="16"/>
  <c r="E141" i="16"/>
  <c r="C141" i="16"/>
  <c r="B141" i="16"/>
  <c r="A141" i="16"/>
  <c r="D201" i="16"/>
  <c r="B201" i="16"/>
  <c r="A201" i="16"/>
  <c r="F201" i="16"/>
  <c r="E201" i="16"/>
  <c r="C201" i="16"/>
  <c r="N201" i="16"/>
  <c r="J201" i="16"/>
  <c r="M201" i="16"/>
  <c r="L201" i="16"/>
  <c r="I201" i="16"/>
  <c r="H201" i="16"/>
  <c r="G201" i="16"/>
  <c r="K201" i="16"/>
  <c r="I62" i="16"/>
  <c r="N62" i="16"/>
  <c r="L62" i="16"/>
  <c r="M62" i="16"/>
  <c r="K62" i="16"/>
  <c r="J62" i="16"/>
  <c r="G62" i="16"/>
  <c r="H62" i="16"/>
  <c r="F62" i="16"/>
  <c r="C62" i="16"/>
  <c r="A62" i="16"/>
  <c r="D62" i="16"/>
  <c r="E62" i="16"/>
  <c r="B62" i="16"/>
  <c r="C136" i="16"/>
  <c r="N136" i="16"/>
  <c r="M136" i="16"/>
  <c r="K136" i="16"/>
  <c r="H136" i="16"/>
  <c r="G136" i="16"/>
  <c r="A136" i="16"/>
  <c r="F136" i="16"/>
  <c r="E136" i="16"/>
  <c r="D136" i="16"/>
  <c r="B136" i="16"/>
  <c r="J136" i="16"/>
  <c r="I136" i="16"/>
  <c r="L136" i="16"/>
  <c r="F148" i="16"/>
  <c r="E148" i="16"/>
  <c r="D148" i="16"/>
  <c r="B148" i="16"/>
  <c r="M148" i="16"/>
  <c r="L148" i="16"/>
  <c r="K148" i="16"/>
  <c r="N148" i="16"/>
  <c r="I148" i="16"/>
  <c r="C148" i="16"/>
  <c r="A148" i="16"/>
  <c r="H148" i="16"/>
  <c r="G148" i="16"/>
  <c r="J148" i="16"/>
  <c r="I110" i="16"/>
  <c r="M110" i="16"/>
  <c r="L110" i="16"/>
  <c r="K110" i="16"/>
  <c r="H110" i="16"/>
  <c r="B110" i="16"/>
  <c r="A110" i="16"/>
  <c r="D110" i="16"/>
  <c r="C110" i="16"/>
  <c r="F110" i="16"/>
  <c r="N110" i="16"/>
  <c r="J110" i="16"/>
  <c r="E110" i="16"/>
  <c r="G110" i="16"/>
  <c r="E26" i="16"/>
  <c r="J26" i="16"/>
  <c r="I26" i="16"/>
  <c r="H26" i="16"/>
  <c r="F26" i="16"/>
  <c r="L26" i="16"/>
  <c r="D26" i="16"/>
  <c r="K26" i="16"/>
  <c r="G26" i="16"/>
  <c r="C26" i="16"/>
  <c r="A26" i="16"/>
  <c r="N26" i="16"/>
  <c r="M26" i="16"/>
  <c r="B26" i="16"/>
  <c r="N35" i="16"/>
  <c r="K35" i="16"/>
  <c r="J35" i="16"/>
  <c r="I35" i="16"/>
  <c r="G35" i="16"/>
  <c r="M35" i="16"/>
  <c r="L35" i="16"/>
  <c r="H35" i="16"/>
  <c r="F35" i="16"/>
  <c r="E35" i="16"/>
  <c r="A35" i="16"/>
  <c r="D35" i="16"/>
  <c r="C35" i="16"/>
  <c r="B35" i="16"/>
  <c r="E90" i="16"/>
  <c r="F90" i="16"/>
  <c r="D90" i="16"/>
  <c r="C90" i="16"/>
  <c r="A90" i="16"/>
  <c r="H90" i="16"/>
  <c r="G90" i="16"/>
  <c r="B90" i="16"/>
  <c r="I90" i="16"/>
  <c r="J90" i="16"/>
  <c r="N90" i="16"/>
  <c r="M90" i="16"/>
  <c r="L90" i="16"/>
  <c r="K90" i="16"/>
  <c r="E10" i="16"/>
  <c r="K10" i="16"/>
  <c r="J10" i="16"/>
  <c r="I10" i="16"/>
  <c r="G10" i="16"/>
  <c r="M10" i="16"/>
  <c r="L10" i="16"/>
  <c r="C10" i="16"/>
  <c r="A10" i="16"/>
  <c r="H10" i="16"/>
  <c r="F10" i="16"/>
  <c r="D10" i="16"/>
  <c r="B10" i="16"/>
  <c r="N10" i="16"/>
  <c r="G108" i="16"/>
  <c r="I108" i="16"/>
  <c r="H108" i="16"/>
  <c r="F108" i="16"/>
  <c r="D108" i="16"/>
  <c r="K108" i="16"/>
  <c r="J108" i="16"/>
  <c r="C108" i="16"/>
  <c r="E108" i="16"/>
  <c r="B108" i="16"/>
  <c r="A108" i="16"/>
  <c r="N108" i="16"/>
  <c r="L108" i="16"/>
  <c r="M108" i="16"/>
  <c r="I21" i="6"/>
  <c r="H21" i="6"/>
  <c r="E21" i="6"/>
  <c r="P21" i="6"/>
  <c r="O21" i="6"/>
  <c r="N21" i="6"/>
  <c r="L21" i="6"/>
  <c r="K21" i="6" s="1"/>
  <c r="F21" i="6"/>
  <c r="D21" i="6"/>
  <c r="C21" i="6"/>
  <c r="A21" i="6"/>
  <c r="Q21" i="6"/>
  <c r="M21" i="6"/>
  <c r="J21" i="6"/>
  <c r="G21" i="6"/>
  <c r="I37" i="6"/>
  <c r="H37" i="6"/>
  <c r="E37" i="6"/>
  <c r="Q37" i="6"/>
  <c r="P37" i="6"/>
  <c r="O37" i="6"/>
  <c r="G37" i="6"/>
  <c r="F37" i="6"/>
  <c r="D37" i="6"/>
  <c r="C37" i="6"/>
  <c r="A37" i="6"/>
  <c r="N37" i="6"/>
  <c r="M37" i="6"/>
  <c r="L37" i="6"/>
  <c r="K37" i="6" s="1"/>
  <c r="J37" i="6"/>
  <c r="D42" i="6"/>
  <c r="C42" i="6"/>
  <c r="P42" i="6"/>
  <c r="M42" i="6"/>
  <c r="L42" i="6"/>
  <c r="K42" i="6" s="1"/>
  <c r="J42" i="6"/>
  <c r="I42" i="6"/>
  <c r="G42" i="6"/>
  <c r="F42" i="6"/>
  <c r="E42" i="6"/>
  <c r="A42" i="6"/>
  <c r="N42" i="6"/>
  <c r="H42" i="6"/>
  <c r="Q42" i="6"/>
  <c r="O42" i="6"/>
  <c r="L81" i="16"/>
  <c r="D81" i="16"/>
  <c r="C81" i="16"/>
  <c r="B81" i="16"/>
  <c r="F81" i="16"/>
  <c r="E81" i="16"/>
  <c r="A81" i="16"/>
  <c r="I81" i="16"/>
  <c r="H81" i="16"/>
  <c r="G81" i="16"/>
  <c r="J81" i="16"/>
  <c r="N81" i="16"/>
  <c r="K81" i="16"/>
  <c r="M81" i="16"/>
  <c r="F123" i="16"/>
  <c r="E123" i="16"/>
  <c r="D123" i="16"/>
  <c r="C123" i="16"/>
  <c r="A123" i="16"/>
  <c r="L123" i="16"/>
  <c r="K123" i="16"/>
  <c r="I123" i="16"/>
  <c r="J123" i="16"/>
  <c r="H123" i="16"/>
  <c r="B123" i="16"/>
  <c r="N123" i="16"/>
  <c r="G123" i="16"/>
  <c r="M123" i="16"/>
  <c r="O47" i="6"/>
  <c r="N47" i="6"/>
  <c r="G47" i="6"/>
  <c r="F47" i="6"/>
  <c r="D47" i="6"/>
  <c r="E47" i="6"/>
  <c r="C47" i="6"/>
  <c r="J47" i="6"/>
  <c r="I47" i="6"/>
  <c r="H47" i="6"/>
  <c r="A47" i="6"/>
  <c r="P47" i="6"/>
  <c r="L47" i="6"/>
  <c r="K47" i="6" s="1"/>
  <c r="Q47" i="6"/>
  <c r="M47" i="6"/>
  <c r="M98" i="16"/>
  <c r="E98" i="16"/>
  <c r="D98" i="16"/>
  <c r="C98" i="16"/>
  <c r="A98" i="16"/>
  <c r="N98" i="16"/>
  <c r="L98" i="16"/>
  <c r="K98" i="16"/>
  <c r="J98" i="16"/>
  <c r="H98" i="16"/>
  <c r="F98" i="16"/>
  <c r="B98" i="16"/>
  <c r="I98" i="16"/>
  <c r="G98" i="16"/>
  <c r="Q29" i="6"/>
  <c r="A29" i="6"/>
  <c r="P29" i="6"/>
  <c r="M29" i="6"/>
  <c r="O29" i="6"/>
  <c r="N29" i="6"/>
  <c r="L29" i="6"/>
  <c r="K29" i="6" s="1"/>
  <c r="D29" i="6"/>
  <c r="C29" i="6"/>
  <c r="H29" i="6"/>
  <c r="G29" i="6"/>
  <c r="F29" i="6"/>
  <c r="E29" i="6"/>
  <c r="I29" i="6"/>
  <c r="J29" i="6"/>
  <c r="N32" i="6"/>
  <c r="M32" i="6"/>
  <c r="J32" i="6"/>
  <c r="F32" i="6"/>
  <c r="C32" i="6"/>
  <c r="E32" i="6"/>
  <c r="D32" i="6"/>
  <c r="H32" i="6"/>
  <c r="G32" i="6"/>
  <c r="A32" i="6"/>
  <c r="L32" i="6"/>
  <c r="K32" i="6" s="1"/>
  <c r="I32" i="6"/>
  <c r="Q32" i="6"/>
  <c r="P32" i="6"/>
  <c r="O32" i="6"/>
  <c r="D41" i="16"/>
  <c r="G41" i="16"/>
  <c r="F41" i="16"/>
  <c r="E41" i="16"/>
  <c r="B41" i="16"/>
  <c r="M41" i="16"/>
  <c r="L41" i="16"/>
  <c r="K41" i="16"/>
  <c r="J41" i="16"/>
  <c r="I41" i="16"/>
  <c r="N41" i="16"/>
  <c r="H41" i="16"/>
  <c r="C41" i="16"/>
  <c r="A41" i="16"/>
  <c r="C88" i="16"/>
  <c r="A88" i="16"/>
  <c r="N88" i="16"/>
  <c r="L88" i="16"/>
  <c r="K88" i="16"/>
  <c r="I88" i="16"/>
  <c r="J88" i="16"/>
  <c r="H88" i="16"/>
  <c r="B88" i="16"/>
  <c r="F88" i="16"/>
  <c r="E88" i="16"/>
  <c r="D88" i="16"/>
  <c r="M88" i="16"/>
  <c r="G88" i="16"/>
  <c r="I158" i="16"/>
  <c r="J158" i="16"/>
  <c r="H158" i="16"/>
  <c r="G158" i="16"/>
  <c r="E158" i="16"/>
  <c r="L158" i="16"/>
  <c r="K158" i="16"/>
  <c r="D158" i="16"/>
  <c r="F158" i="16"/>
  <c r="C158" i="16"/>
  <c r="N158" i="16"/>
  <c r="M158" i="16"/>
  <c r="B158" i="16"/>
  <c r="A158" i="16"/>
  <c r="H149" i="16"/>
  <c r="G149" i="16"/>
  <c r="F149" i="16"/>
  <c r="D149" i="16"/>
  <c r="J149" i="16"/>
  <c r="I149" i="16"/>
  <c r="C149" i="16"/>
  <c r="E149" i="16"/>
  <c r="B149" i="16"/>
  <c r="N149" i="16"/>
  <c r="M149" i="16"/>
  <c r="L149" i="16"/>
  <c r="K149" i="16"/>
  <c r="A149" i="16"/>
  <c r="M82" i="16"/>
  <c r="F82" i="16"/>
  <c r="E82" i="16"/>
  <c r="D82" i="16"/>
  <c r="B82" i="16"/>
  <c r="L82" i="16"/>
  <c r="K82" i="16"/>
  <c r="J82" i="16"/>
  <c r="I82" i="16"/>
  <c r="H82" i="16"/>
  <c r="N82" i="16"/>
  <c r="G82" i="16"/>
  <c r="C82" i="16"/>
  <c r="A82" i="16"/>
  <c r="F75" i="16"/>
  <c r="I75" i="16"/>
  <c r="H75" i="16"/>
  <c r="G75" i="16"/>
  <c r="D75" i="16"/>
  <c r="B75" i="16"/>
  <c r="A75" i="16"/>
  <c r="N75" i="16"/>
  <c r="C75" i="16"/>
  <c r="M75" i="16"/>
  <c r="L75" i="16"/>
  <c r="K75" i="16"/>
  <c r="J75" i="16"/>
  <c r="E75" i="16"/>
  <c r="F43" i="16"/>
  <c r="K43" i="16"/>
  <c r="J43" i="16"/>
  <c r="I43" i="16"/>
  <c r="G43" i="16"/>
  <c r="D43" i="16"/>
  <c r="C43" i="16"/>
  <c r="A43" i="16"/>
  <c r="B43" i="16"/>
  <c r="N43" i="16"/>
  <c r="M43" i="16"/>
  <c r="L43" i="16"/>
  <c r="E43" i="16"/>
  <c r="H43" i="16"/>
  <c r="D89" i="16"/>
  <c r="C89" i="16"/>
  <c r="B89" i="16"/>
  <c r="A89" i="16"/>
  <c r="N89" i="16"/>
  <c r="M89" i="16"/>
  <c r="G89" i="16"/>
  <c r="L89" i="16"/>
  <c r="H89" i="16"/>
  <c r="K89" i="16"/>
  <c r="I89" i="16"/>
  <c r="J89" i="16"/>
  <c r="F89" i="16"/>
  <c r="E89" i="16"/>
  <c r="N3" i="16"/>
  <c r="M3" i="16"/>
  <c r="L3" i="16"/>
  <c r="K3" i="16"/>
  <c r="I3" i="16"/>
  <c r="H3" i="16"/>
  <c r="J3" i="16"/>
  <c r="G3" i="16"/>
  <c r="E3" i="16"/>
  <c r="C3" i="16"/>
  <c r="B3" i="16"/>
  <c r="F3" i="16"/>
  <c r="D3" i="16"/>
  <c r="A3" i="16"/>
  <c r="N147" i="16"/>
  <c r="D147" i="16"/>
  <c r="C147" i="16"/>
  <c r="B147" i="16"/>
  <c r="M147" i="16"/>
  <c r="L147" i="16"/>
  <c r="K147" i="16"/>
  <c r="J147" i="16"/>
  <c r="H147" i="16"/>
  <c r="G147" i="16"/>
  <c r="F147" i="16"/>
  <c r="E147" i="16"/>
  <c r="A147" i="16"/>
  <c r="I147" i="16"/>
  <c r="A5" i="16"/>
  <c r="M5" i="16"/>
  <c r="G5" i="16"/>
  <c r="F5" i="16"/>
  <c r="E5" i="16"/>
  <c r="D5" i="16"/>
  <c r="C5" i="16"/>
  <c r="I5" i="16"/>
  <c r="N5" i="16"/>
  <c r="K5" i="16"/>
  <c r="J5" i="16"/>
  <c r="L5" i="16"/>
  <c r="H5" i="16"/>
  <c r="B5" i="16"/>
  <c r="B87" i="16"/>
  <c r="N87" i="16"/>
  <c r="L87" i="16"/>
  <c r="F87" i="16"/>
  <c r="E87" i="16"/>
  <c r="C87" i="16"/>
  <c r="D87" i="16"/>
  <c r="A87" i="16"/>
  <c r="M87" i="16"/>
  <c r="K87" i="16"/>
  <c r="J87" i="16"/>
  <c r="G87" i="16"/>
  <c r="I87" i="16"/>
  <c r="H87" i="16"/>
  <c r="K144" i="16"/>
  <c r="N144" i="16"/>
  <c r="M144" i="16"/>
  <c r="J144" i="16"/>
  <c r="L144" i="16"/>
  <c r="I144" i="16"/>
  <c r="H144" i="16"/>
  <c r="E144" i="16"/>
  <c r="G144" i="16"/>
  <c r="F144" i="16"/>
  <c r="D144" i="16"/>
  <c r="C144" i="16"/>
  <c r="B144" i="16"/>
  <c r="A144" i="16"/>
  <c r="E164" i="16"/>
  <c r="D164" i="16"/>
  <c r="C164" i="16"/>
  <c r="A164" i="16"/>
  <c r="K164" i="16"/>
  <c r="J164" i="16"/>
  <c r="H164" i="16"/>
  <c r="I164" i="16"/>
  <c r="G164" i="16"/>
  <c r="L164" i="16"/>
  <c r="N164" i="16"/>
  <c r="B164" i="16"/>
  <c r="M164" i="16"/>
  <c r="F164" i="16"/>
  <c r="J19" i="6"/>
  <c r="G19" i="6"/>
  <c r="L19" i="6"/>
  <c r="K19" i="6" s="1"/>
  <c r="I19" i="6"/>
  <c r="H19" i="6"/>
  <c r="E19" i="6"/>
  <c r="P19" i="6"/>
  <c r="O19" i="6"/>
  <c r="N19" i="6"/>
  <c r="C19" i="6"/>
  <c r="M19" i="6"/>
  <c r="D19" i="6"/>
  <c r="F19" i="6"/>
  <c r="Q19" i="6"/>
  <c r="A19" i="6"/>
  <c r="P46" i="6"/>
  <c r="O46" i="6"/>
  <c r="L46" i="6"/>
  <c r="K46" i="6" s="1"/>
  <c r="E46" i="6"/>
  <c r="D46" i="6"/>
  <c r="C46" i="6"/>
  <c r="A46" i="6"/>
  <c r="N46" i="6"/>
  <c r="Q46" i="6"/>
  <c r="M46" i="6"/>
  <c r="J46" i="6"/>
  <c r="F46" i="6"/>
  <c r="I46" i="6"/>
  <c r="H46" i="6"/>
  <c r="G46" i="6"/>
  <c r="P30" i="6"/>
  <c r="O30" i="6"/>
  <c r="L30" i="6"/>
  <c r="K30" i="6" s="1"/>
  <c r="A30" i="6"/>
  <c r="Q30" i="6"/>
  <c r="J30" i="6"/>
  <c r="I30" i="6"/>
  <c r="F30" i="6"/>
  <c r="D30" i="6"/>
  <c r="H30" i="6"/>
  <c r="G30" i="6"/>
  <c r="E30" i="6"/>
  <c r="M30" i="6"/>
  <c r="C30" i="6"/>
  <c r="N30" i="6"/>
  <c r="J127" i="16"/>
  <c r="N127" i="16"/>
  <c r="M127" i="16"/>
  <c r="L127" i="16"/>
  <c r="I127" i="16"/>
  <c r="H127" i="16"/>
  <c r="G127" i="16"/>
  <c r="C127" i="16"/>
  <c r="F127" i="16"/>
  <c r="E127" i="16"/>
  <c r="A127" i="16"/>
  <c r="D127" i="16"/>
  <c r="B127" i="16"/>
  <c r="K127" i="16"/>
  <c r="A134" i="16"/>
  <c r="K134" i="16"/>
  <c r="J134" i="16"/>
  <c r="I134" i="16"/>
  <c r="G134" i="16"/>
  <c r="E134" i="16"/>
  <c r="D134" i="16"/>
  <c r="C134" i="16"/>
  <c r="B134" i="16"/>
  <c r="H134" i="16"/>
  <c r="F134" i="16"/>
  <c r="N134" i="16"/>
  <c r="M134" i="16"/>
  <c r="L134" i="16"/>
  <c r="J63" i="16"/>
  <c r="A63" i="16"/>
  <c r="N63" i="16"/>
  <c r="C63" i="16"/>
  <c r="B63" i="16"/>
  <c r="K63" i="16"/>
  <c r="E63" i="16"/>
  <c r="I63" i="16"/>
  <c r="H63" i="16"/>
  <c r="G63" i="16"/>
  <c r="D63" i="16"/>
  <c r="F63" i="16"/>
  <c r="M63" i="16"/>
  <c r="L63" i="16"/>
  <c r="M2" i="16"/>
  <c r="K2" i="16"/>
  <c r="J2" i="16"/>
  <c r="I2" i="16"/>
  <c r="G2" i="16"/>
  <c r="E2" i="16"/>
  <c r="D2" i="16"/>
  <c r="C2" i="16"/>
  <c r="B2" i="16"/>
  <c r="L2" i="16"/>
  <c r="H2" i="16"/>
  <c r="N2" i="16"/>
  <c r="F2" i="16"/>
  <c r="N51" i="16"/>
  <c r="J51" i="16"/>
  <c r="I51" i="16"/>
  <c r="H51" i="16"/>
  <c r="F51" i="16"/>
  <c r="M51" i="16"/>
  <c r="L51" i="16"/>
  <c r="K51" i="16"/>
  <c r="G51" i="16"/>
  <c r="B51" i="16"/>
  <c r="A51" i="16"/>
  <c r="D51" i="16"/>
  <c r="E51" i="16"/>
  <c r="C51" i="16"/>
  <c r="G172" i="16"/>
  <c r="D172" i="16"/>
  <c r="C172" i="16"/>
  <c r="B172" i="16"/>
  <c r="F172" i="16"/>
  <c r="E172" i="16"/>
  <c r="A172" i="16"/>
  <c r="N172" i="16"/>
  <c r="L172" i="16"/>
  <c r="H172" i="16"/>
  <c r="K172" i="16"/>
  <c r="J172" i="16"/>
  <c r="I172" i="16"/>
  <c r="M172" i="16"/>
  <c r="G140" i="16"/>
  <c r="F140" i="16"/>
  <c r="E140" i="16"/>
  <c r="D140" i="16"/>
  <c r="B140" i="16"/>
  <c r="I140" i="16"/>
  <c r="H140" i="16"/>
  <c r="A140" i="16"/>
  <c r="C140" i="16"/>
  <c r="N140" i="16"/>
  <c r="M140" i="16"/>
  <c r="L140" i="16"/>
  <c r="K140" i="16"/>
  <c r="J140" i="16"/>
  <c r="G124" i="16"/>
  <c r="H124" i="16"/>
  <c r="F124" i="16"/>
  <c r="E124" i="16"/>
  <c r="C124" i="16"/>
  <c r="N124" i="16"/>
  <c r="J124" i="16"/>
  <c r="I124" i="16"/>
  <c r="L124" i="16"/>
  <c r="K124" i="16"/>
  <c r="M124" i="16"/>
  <c r="D124" i="16"/>
  <c r="B124" i="16"/>
  <c r="A124" i="16"/>
  <c r="C24" i="16"/>
  <c r="F24" i="16"/>
  <c r="E24" i="16"/>
  <c r="D24" i="16"/>
  <c r="A24" i="16"/>
  <c r="M24" i="16"/>
  <c r="N24" i="16"/>
  <c r="L24" i="16"/>
  <c r="H24" i="16"/>
  <c r="K24" i="16"/>
  <c r="J24" i="16"/>
  <c r="G24" i="16"/>
  <c r="B24" i="16"/>
  <c r="I24" i="16"/>
  <c r="K176" i="16"/>
  <c r="M176" i="16"/>
  <c r="L176" i="16"/>
  <c r="J176" i="16"/>
  <c r="H176" i="16"/>
  <c r="N176" i="16"/>
  <c r="G176" i="16"/>
  <c r="I176" i="16"/>
  <c r="F176" i="16"/>
  <c r="C176" i="16"/>
  <c r="B176" i="16"/>
  <c r="A176" i="16"/>
  <c r="E176" i="16"/>
  <c r="D176" i="16"/>
  <c r="A38" i="16"/>
  <c r="M38" i="16"/>
  <c r="K38" i="16"/>
  <c r="J38" i="16"/>
  <c r="H38" i="16"/>
  <c r="I38" i="16"/>
  <c r="G38" i="16"/>
  <c r="N38" i="16"/>
  <c r="L38" i="16"/>
  <c r="F38" i="16"/>
  <c r="E38" i="16"/>
  <c r="D38" i="16"/>
  <c r="C38" i="16"/>
  <c r="B38" i="16"/>
  <c r="J95" i="16"/>
  <c r="N95" i="16"/>
  <c r="L95" i="16"/>
  <c r="A95" i="16"/>
  <c r="K95" i="16"/>
  <c r="M95" i="16"/>
  <c r="I95" i="16"/>
  <c r="D95" i="16"/>
  <c r="H95" i="16"/>
  <c r="G95" i="16"/>
  <c r="F95" i="16"/>
  <c r="C95" i="16"/>
  <c r="B95" i="16"/>
  <c r="E95" i="16"/>
  <c r="D169" i="16"/>
  <c r="N169" i="16"/>
  <c r="M169" i="16"/>
  <c r="K169" i="16"/>
  <c r="E169" i="16"/>
  <c r="C169" i="16"/>
  <c r="A169" i="16"/>
  <c r="B169" i="16"/>
  <c r="J169" i="16"/>
  <c r="I169" i="16"/>
  <c r="H169" i="16"/>
  <c r="G169" i="16"/>
  <c r="F169" i="16"/>
  <c r="L169" i="16"/>
  <c r="M180" i="16"/>
  <c r="F180" i="16"/>
  <c r="E180" i="16"/>
  <c r="D180" i="16"/>
  <c r="B180" i="16"/>
  <c r="L180" i="16"/>
  <c r="K180" i="16"/>
  <c r="A180" i="16"/>
  <c r="J180" i="16"/>
  <c r="I180" i="16"/>
  <c r="C180" i="16"/>
  <c r="H180" i="16"/>
  <c r="G180" i="16"/>
  <c r="N180" i="16"/>
  <c r="Q13" i="6"/>
  <c r="A13" i="6"/>
  <c r="P13" i="6"/>
  <c r="M13" i="6"/>
  <c r="N13" i="6"/>
  <c r="L13" i="6"/>
  <c r="K13" i="6" s="1"/>
  <c r="I13" i="6"/>
  <c r="J13" i="6"/>
  <c r="H13" i="6"/>
  <c r="G13" i="6"/>
  <c r="F13" i="6"/>
  <c r="E13" i="6"/>
  <c r="D13" i="6"/>
  <c r="C13" i="6"/>
  <c r="O13" i="6"/>
  <c r="F4" i="6"/>
  <c r="H4" i="6"/>
  <c r="G4" i="6"/>
  <c r="D4" i="6"/>
  <c r="E4" i="6"/>
  <c r="C4" i="6"/>
  <c r="A4" i="6"/>
  <c r="O4" i="6"/>
  <c r="N4" i="6"/>
  <c r="M4" i="6"/>
  <c r="L4" i="6"/>
  <c r="Q4" i="6"/>
  <c r="P4" i="6"/>
  <c r="F107" i="16"/>
  <c r="G107" i="16"/>
  <c r="E107" i="16"/>
  <c r="D107" i="16"/>
  <c r="B107" i="16"/>
  <c r="M107" i="16"/>
  <c r="L107" i="16"/>
  <c r="H107" i="16"/>
  <c r="C107" i="16"/>
  <c r="K107" i="16"/>
  <c r="J107" i="16"/>
  <c r="A107" i="16"/>
  <c r="I107" i="16"/>
  <c r="N107" i="16"/>
  <c r="J143" i="16"/>
  <c r="M143" i="16"/>
  <c r="L143" i="16"/>
  <c r="K143" i="16"/>
  <c r="H143" i="16"/>
  <c r="F143" i="16"/>
  <c r="E143" i="16"/>
  <c r="C143" i="16"/>
  <c r="D143" i="16"/>
  <c r="B143" i="16"/>
  <c r="A143" i="16"/>
  <c r="I143" i="16"/>
  <c r="N143" i="16"/>
  <c r="G143" i="16"/>
  <c r="F11" i="16"/>
  <c r="M11" i="16"/>
  <c r="L11" i="16"/>
  <c r="K11" i="16"/>
  <c r="I11" i="16"/>
  <c r="G11" i="16"/>
  <c r="E11" i="16"/>
  <c r="D11" i="16"/>
  <c r="C11" i="16"/>
  <c r="B11" i="16"/>
  <c r="N11" i="16"/>
  <c r="J11" i="16"/>
  <c r="A11" i="16"/>
  <c r="H11" i="16"/>
  <c r="H38" i="6"/>
  <c r="G38" i="6"/>
  <c r="D38" i="6"/>
  <c r="A38" i="6"/>
  <c r="Q38" i="6"/>
  <c r="P38" i="6"/>
  <c r="O38" i="6"/>
  <c r="N38" i="6"/>
  <c r="J38" i="6"/>
  <c r="M38" i="6"/>
  <c r="L38" i="6"/>
  <c r="K38" i="6" s="1"/>
  <c r="I38" i="6"/>
  <c r="C38" i="6"/>
  <c r="F38" i="6"/>
  <c r="E38" i="6"/>
  <c r="M114" i="16"/>
  <c r="D114" i="16"/>
  <c r="C114" i="16"/>
  <c r="B114" i="16"/>
  <c r="J114" i="16"/>
  <c r="I114" i="16"/>
  <c r="G114" i="16"/>
  <c r="H114" i="16"/>
  <c r="F114" i="16"/>
  <c r="K114" i="16"/>
  <c r="E114" i="16"/>
  <c r="A114" i="16"/>
  <c r="N114" i="16"/>
  <c r="L114" i="16"/>
  <c r="G28" i="16"/>
  <c r="N28" i="16"/>
  <c r="M28" i="16"/>
  <c r="L28" i="16"/>
  <c r="J28" i="16"/>
  <c r="C28" i="16"/>
  <c r="B28" i="16"/>
  <c r="A28" i="16"/>
  <c r="H28" i="16"/>
  <c r="F28" i="16"/>
  <c r="E28" i="16"/>
  <c r="D28" i="16"/>
  <c r="K28" i="16"/>
  <c r="I28" i="16"/>
  <c r="C184" i="16"/>
  <c r="A184" i="16"/>
  <c r="N184" i="16"/>
  <c r="L184" i="16"/>
  <c r="K184" i="16"/>
  <c r="I184" i="16"/>
  <c r="J184" i="16"/>
  <c r="H184" i="16"/>
  <c r="G184" i="16"/>
  <c r="F184" i="16"/>
  <c r="M184" i="16"/>
  <c r="D184" i="16"/>
  <c r="E184" i="16"/>
  <c r="B184" i="16"/>
  <c r="A22" i="16"/>
  <c r="B22" i="16"/>
  <c r="N22" i="16"/>
  <c r="D22" i="16"/>
  <c r="C22" i="16"/>
  <c r="M22" i="16"/>
  <c r="L22" i="16"/>
  <c r="F22" i="16"/>
  <c r="E22" i="16"/>
  <c r="K22" i="16"/>
  <c r="I22" i="16"/>
  <c r="H22" i="16"/>
  <c r="G22" i="16"/>
  <c r="J22" i="16"/>
  <c r="B151" i="16"/>
  <c r="L151" i="16"/>
  <c r="K151" i="16"/>
  <c r="J151" i="16"/>
  <c r="H151" i="16"/>
  <c r="A151" i="16"/>
  <c r="N151" i="16"/>
  <c r="F151" i="16"/>
  <c r="M151" i="16"/>
  <c r="I151" i="16"/>
  <c r="E151" i="16"/>
  <c r="D151" i="16"/>
  <c r="C151" i="16"/>
  <c r="G151" i="16"/>
  <c r="M130" i="16"/>
  <c r="C130" i="16"/>
  <c r="B130" i="16"/>
  <c r="A130" i="16"/>
  <c r="N130" i="16"/>
  <c r="D130" i="16"/>
  <c r="L130" i="16"/>
  <c r="G130" i="16"/>
  <c r="K130" i="16"/>
  <c r="J130" i="16"/>
  <c r="I130" i="16"/>
  <c r="F130" i="16"/>
  <c r="E130" i="16"/>
  <c r="H130" i="16"/>
  <c r="N53" i="16"/>
  <c r="M53" i="16"/>
  <c r="L53" i="16"/>
  <c r="J53" i="16"/>
  <c r="K53" i="16"/>
  <c r="I53" i="16"/>
  <c r="H53" i="16"/>
  <c r="G53" i="16"/>
  <c r="F53" i="16"/>
  <c r="A53" i="16"/>
  <c r="E53" i="16"/>
  <c r="C53" i="16"/>
  <c r="B53" i="16"/>
  <c r="D53" i="16"/>
  <c r="N179" i="16"/>
  <c r="L179" i="16"/>
  <c r="C179" i="16"/>
  <c r="B179" i="16"/>
  <c r="A179" i="16"/>
  <c r="M179" i="16"/>
  <c r="J179" i="16"/>
  <c r="K179" i="16"/>
  <c r="I179" i="16"/>
  <c r="H179" i="16"/>
  <c r="G179" i="16"/>
  <c r="F179" i="16"/>
  <c r="E179" i="16"/>
  <c r="D179" i="16"/>
  <c r="I46" i="16"/>
  <c r="M46" i="16"/>
  <c r="F46" i="16"/>
  <c r="E46" i="16"/>
  <c r="C46" i="16"/>
  <c r="D46" i="16"/>
  <c r="B46" i="16"/>
  <c r="A46" i="16"/>
  <c r="L46" i="16"/>
  <c r="G46" i="16"/>
  <c r="H46" i="16"/>
  <c r="K46" i="16"/>
  <c r="J46" i="16"/>
  <c r="N46" i="16"/>
  <c r="C120" i="16"/>
  <c r="N120" i="16"/>
  <c r="L120" i="16"/>
  <c r="J120" i="16"/>
  <c r="I120" i="16"/>
  <c r="H120" i="16"/>
  <c r="G120" i="16"/>
  <c r="F120" i="16"/>
  <c r="B120" i="16"/>
  <c r="A120" i="16"/>
  <c r="M120" i="16"/>
  <c r="E120" i="16"/>
  <c r="D120" i="16"/>
  <c r="K120" i="16"/>
  <c r="L177" i="16"/>
  <c r="N177" i="16"/>
  <c r="M177" i="16"/>
  <c r="J177" i="16"/>
  <c r="F177" i="16"/>
  <c r="I177" i="16"/>
  <c r="G177" i="16"/>
  <c r="K177" i="16"/>
  <c r="H177" i="16"/>
  <c r="D177" i="16"/>
  <c r="B177" i="16"/>
  <c r="A177" i="16"/>
  <c r="C177" i="16"/>
  <c r="E177" i="16"/>
  <c r="M196" i="16"/>
  <c r="D196" i="16"/>
  <c r="C196" i="16"/>
  <c r="B196" i="16"/>
  <c r="F196" i="16"/>
  <c r="E196" i="16"/>
  <c r="A196" i="16"/>
  <c r="N196" i="16"/>
  <c r="K196" i="16"/>
  <c r="I196" i="16"/>
  <c r="L196" i="16"/>
  <c r="J196" i="16"/>
  <c r="H196" i="16"/>
  <c r="G196" i="16"/>
  <c r="L97" i="16"/>
  <c r="C97" i="16"/>
  <c r="B97" i="16"/>
  <c r="A97" i="16"/>
  <c r="N97" i="16"/>
  <c r="M97" i="16"/>
  <c r="J97" i="16"/>
  <c r="K97" i="16"/>
  <c r="I97" i="16"/>
  <c r="G97" i="16"/>
  <c r="H97" i="16"/>
  <c r="F97" i="16"/>
  <c r="D97" i="16"/>
  <c r="E97" i="16"/>
  <c r="C8" i="16"/>
  <c r="G8" i="16"/>
  <c r="F8" i="16"/>
  <c r="E8" i="16"/>
  <c r="B8" i="16"/>
  <c r="I8" i="16"/>
  <c r="H8" i="16"/>
  <c r="D8" i="16"/>
  <c r="A8" i="16"/>
  <c r="L8" i="16"/>
  <c r="K8" i="16"/>
  <c r="J8" i="16"/>
  <c r="N8" i="16"/>
  <c r="M8" i="16"/>
  <c r="B55" i="16"/>
  <c r="A55" i="16"/>
  <c r="N55" i="16"/>
  <c r="H55" i="16"/>
  <c r="G55" i="16"/>
  <c r="E55" i="16"/>
  <c r="F55" i="16"/>
  <c r="D55" i="16"/>
  <c r="L55" i="16"/>
  <c r="K55" i="16"/>
  <c r="J55" i="16"/>
  <c r="I55" i="16"/>
  <c r="M55" i="16"/>
  <c r="C55" i="16"/>
  <c r="E58" i="16"/>
  <c r="H58" i="16"/>
  <c r="G58" i="16"/>
  <c r="F58" i="16"/>
  <c r="C58" i="16"/>
  <c r="J58" i="16"/>
  <c r="I58" i="16"/>
  <c r="B58" i="16"/>
  <c r="D58" i="16"/>
  <c r="A58" i="16"/>
  <c r="M58" i="16"/>
  <c r="K58" i="16"/>
  <c r="L58" i="16"/>
  <c r="N58" i="16"/>
  <c r="H93" i="16"/>
  <c r="L93" i="16"/>
  <c r="K93" i="16"/>
  <c r="J93" i="16"/>
  <c r="G93" i="16"/>
  <c r="E93" i="16"/>
  <c r="B93" i="16"/>
  <c r="D93" i="16"/>
  <c r="C93" i="16"/>
  <c r="A93" i="16"/>
  <c r="N93" i="16"/>
  <c r="M93" i="16"/>
  <c r="I93" i="16"/>
  <c r="F93" i="16"/>
  <c r="K160" i="16"/>
  <c r="N160" i="16"/>
  <c r="M160" i="16"/>
  <c r="L160" i="16"/>
  <c r="I160" i="16"/>
  <c r="C160" i="16"/>
  <c r="B160" i="16"/>
  <c r="A160" i="16"/>
  <c r="J160" i="16"/>
  <c r="H160" i="16"/>
  <c r="G160" i="16"/>
  <c r="E160" i="16"/>
  <c r="D160" i="16"/>
  <c r="F160" i="16"/>
  <c r="J159" i="16"/>
  <c r="L159" i="16"/>
  <c r="K159" i="16"/>
  <c r="I159" i="16"/>
  <c r="G159" i="16"/>
  <c r="N159" i="16"/>
  <c r="M159" i="16"/>
  <c r="H159" i="16"/>
  <c r="F159" i="16"/>
  <c r="E159" i="16"/>
  <c r="A159" i="16"/>
  <c r="D159" i="16"/>
  <c r="B159" i="16"/>
  <c r="C159" i="16"/>
  <c r="F59" i="16"/>
  <c r="J59" i="16"/>
  <c r="I59" i="16"/>
  <c r="H59" i="16"/>
  <c r="E59" i="16"/>
  <c r="N59" i="16"/>
  <c r="M59" i="16"/>
  <c r="L59" i="16"/>
  <c r="C59" i="16"/>
  <c r="B59" i="16"/>
  <c r="A59" i="16"/>
  <c r="K59" i="16"/>
  <c r="G59" i="16"/>
  <c r="D59" i="16"/>
  <c r="A6" i="16"/>
  <c r="C6" i="16"/>
  <c r="B6" i="16"/>
  <c r="M6" i="16"/>
  <c r="L6" i="16"/>
  <c r="J6" i="16"/>
  <c r="K6" i="16"/>
  <c r="I6" i="16"/>
  <c r="F6" i="16"/>
  <c r="E6" i="16"/>
  <c r="D6" i="16"/>
  <c r="N6" i="16"/>
  <c r="H6" i="16"/>
  <c r="G6" i="16"/>
  <c r="B71" i="16"/>
  <c r="M71" i="16"/>
  <c r="N71" i="16"/>
  <c r="L71" i="16"/>
  <c r="K71" i="16"/>
  <c r="J71" i="16"/>
  <c r="I71" i="16"/>
  <c r="H71" i="16"/>
  <c r="G71" i="16"/>
  <c r="E71" i="16"/>
  <c r="C71" i="16"/>
  <c r="A71" i="16"/>
  <c r="F71" i="16"/>
  <c r="D71" i="16"/>
  <c r="K128" i="16"/>
  <c r="N128" i="16"/>
  <c r="L128" i="16"/>
  <c r="E128" i="16"/>
  <c r="D128" i="16"/>
  <c r="B128" i="16"/>
  <c r="C128" i="16"/>
  <c r="A128" i="16"/>
  <c r="M128" i="16"/>
  <c r="H128" i="16"/>
  <c r="G128" i="16"/>
  <c r="F128" i="16"/>
  <c r="J128" i="16"/>
  <c r="I128" i="16"/>
  <c r="B183" i="16"/>
  <c r="N183" i="16"/>
  <c r="M183" i="16"/>
  <c r="K183" i="16"/>
  <c r="E183" i="16"/>
  <c r="D183" i="16"/>
  <c r="A183" i="16"/>
  <c r="C183" i="16"/>
  <c r="G183" i="16"/>
  <c r="F183" i="16"/>
  <c r="J183" i="16"/>
  <c r="L183" i="16"/>
  <c r="I183" i="16"/>
  <c r="H183" i="16"/>
  <c r="L50" i="6"/>
  <c r="K50" i="6" s="1"/>
  <c r="H50" i="6"/>
  <c r="P50" i="6"/>
  <c r="O50" i="6"/>
  <c r="N50" i="6"/>
  <c r="M50" i="6"/>
  <c r="J50" i="6"/>
  <c r="Q50" i="6"/>
  <c r="D50" i="6"/>
  <c r="I50" i="6"/>
  <c r="C50" i="6"/>
  <c r="G50" i="6"/>
  <c r="F50" i="6"/>
  <c r="E50" i="6"/>
  <c r="A50" i="6"/>
  <c r="L17" i="16"/>
  <c r="H17" i="16"/>
  <c r="G17" i="16"/>
  <c r="F17" i="16"/>
  <c r="D17" i="16"/>
  <c r="J17" i="16"/>
  <c r="I17" i="16"/>
  <c r="E17" i="16"/>
  <c r="C17" i="16"/>
  <c r="B17" i="16"/>
  <c r="K17" i="16"/>
  <c r="A17" i="16"/>
  <c r="N17" i="16"/>
  <c r="M17" i="16"/>
  <c r="E9" i="6"/>
  <c r="D9" i="6"/>
  <c r="Q9" i="6"/>
  <c r="A9" i="6"/>
  <c r="C9" i="6"/>
  <c r="N9" i="6"/>
  <c r="O9" i="6"/>
  <c r="P9" i="6"/>
  <c r="J9" i="6"/>
  <c r="I9" i="6"/>
  <c r="H9" i="6"/>
  <c r="F9" i="6"/>
  <c r="G9" i="6"/>
  <c r="L9" i="6"/>
  <c r="K9" i="6" s="1"/>
  <c r="M9" i="6"/>
  <c r="C11" i="6"/>
  <c r="O11" i="6"/>
  <c r="I11" i="6"/>
  <c r="H11" i="6"/>
  <c r="G11" i="6"/>
  <c r="E11" i="6"/>
  <c r="Q11" i="6"/>
  <c r="P11" i="6"/>
  <c r="L11" i="6"/>
  <c r="K11" i="6" s="1"/>
  <c r="J11" i="6"/>
  <c r="N11" i="6"/>
  <c r="M11" i="6"/>
  <c r="D11" i="6"/>
  <c r="F11" i="6"/>
  <c r="A11" i="6"/>
  <c r="M66" i="16"/>
  <c r="G66" i="16"/>
  <c r="F66" i="16"/>
  <c r="E66" i="16"/>
  <c r="C66" i="16"/>
  <c r="A66" i="16"/>
  <c r="B66" i="16"/>
  <c r="L66" i="16"/>
  <c r="K66" i="16"/>
  <c r="H66" i="16"/>
  <c r="D66" i="16"/>
  <c r="I66" i="16"/>
  <c r="N66" i="16"/>
  <c r="J66" i="16"/>
  <c r="N67" i="16"/>
  <c r="I67" i="16"/>
  <c r="H67" i="16"/>
  <c r="G67" i="16"/>
  <c r="E67" i="16"/>
  <c r="K67" i="16"/>
  <c r="J67" i="16"/>
  <c r="D67" i="16"/>
  <c r="F67" i="16"/>
  <c r="C67" i="16"/>
  <c r="L67" i="16"/>
  <c r="B67" i="16"/>
  <c r="A67" i="16"/>
  <c r="M67" i="16"/>
  <c r="J31" i="16"/>
  <c r="C31" i="16"/>
  <c r="B31" i="16"/>
  <c r="A31" i="16"/>
  <c r="E31" i="16"/>
  <c r="D31" i="16"/>
  <c r="L31" i="16"/>
  <c r="N31" i="16"/>
  <c r="M31" i="16"/>
  <c r="I31" i="16"/>
  <c r="F31" i="16"/>
  <c r="K31" i="16"/>
  <c r="G31" i="16"/>
  <c r="H31" i="16"/>
  <c r="B199" i="16"/>
  <c r="M199" i="16"/>
  <c r="L199" i="16"/>
  <c r="K199" i="16"/>
  <c r="I199" i="16"/>
  <c r="G199" i="16"/>
  <c r="F199" i="16"/>
  <c r="D199" i="16"/>
  <c r="E199" i="16"/>
  <c r="C199" i="16"/>
  <c r="N199" i="16"/>
  <c r="J199" i="16"/>
  <c r="H199" i="16"/>
  <c r="A199" i="16"/>
  <c r="M18" i="16"/>
  <c r="J18" i="16"/>
  <c r="I18" i="16"/>
  <c r="H18" i="16"/>
  <c r="F18" i="16"/>
  <c r="N18" i="16"/>
  <c r="L18" i="16"/>
  <c r="G18" i="16"/>
  <c r="E18" i="16"/>
  <c r="K18" i="16"/>
  <c r="D18" i="16"/>
  <c r="C18" i="16"/>
  <c r="B18" i="16"/>
  <c r="A18" i="16"/>
  <c r="L65" i="16"/>
  <c r="E65" i="16"/>
  <c r="D65" i="16"/>
  <c r="C65" i="16"/>
  <c r="A65" i="16"/>
  <c r="N65" i="16"/>
  <c r="M65" i="16"/>
  <c r="K65" i="16"/>
  <c r="J65" i="16"/>
  <c r="B65" i="16"/>
  <c r="I65" i="16"/>
  <c r="H65" i="16"/>
  <c r="G65" i="16"/>
  <c r="F65" i="16"/>
  <c r="I14" i="16"/>
  <c r="B14" i="16"/>
  <c r="A14" i="16"/>
  <c r="H14" i="16"/>
  <c r="G14" i="16"/>
  <c r="F14" i="16"/>
  <c r="E14" i="16"/>
  <c r="D14" i="16"/>
  <c r="K14" i="16"/>
  <c r="J14" i="16"/>
  <c r="C14" i="16"/>
  <c r="N14" i="16"/>
  <c r="M14" i="16"/>
  <c r="L14" i="16"/>
  <c r="J79" i="16"/>
  <c r="M79" i="16"/>
  <c r="K79" i="16"/>
  <c r="I79" i="16"/>
  <c r="G79" i="16"/>
  <c r="H79" i="16"/>
  <c r="F79" i="16"/>
  <c r="C79" i="16"/>
  <c r="B79" i="16"/>
  <c r="A79" i="16"/>
  <c r="N79" i="16"/>
  <c r="L79" i="16"/>
  <c r="E79" i="16"/>
  <c r="D79" i="16"/>
  <c r="D153" i="16"/>
  <c r="N153" i="16"/>
  <c r="L153" i="16"/>
  <c r="K153" i="16"/>
  <c r="M153" i="16"/>
  <c r="J153" i="16"/>
  <c r="E153" i="16"/>
  <c r="C153" i="16"/>
  <c r="I153" i="16"/>
  <c r="G153" i="16"/>
  <c r="H153" i="16"/>
  <c r="F153" i="16"/>
  <c r="B153" i="16"/>
  <c r="A153" i="16"/>
  <c r="A182" i="16"/>
  <c r="L182" i="16"/>
  <c r="K182" i="16"/>
  <c r="J182" i="16"/>
  <c r="H182" i="16"/>
  <c r="N182" i="16"/>
  <c r="F182" i="16"/>
  <c r="E182" i="16"/>
  <c r="D182" i="16"/>
  <c r="M182" i="16"/>
  <c r="I182" i="16"/>
  <c r="G182" i="16"/>
  <c r="C182" i="16"/>
  <c r="B182" i="16"/>
  <c r="I6" i="6" l="1"/>
  <c r="J6" i="6" s="1"/>
  <c r="I5" i="6"/>
  <c r="J5" i="6" s="1"/>
  <c r="I8" i="6"/>
  <c r="J8" i="6" s="1"/>
  <c r="I4" i="6"/>
  <c r="I2" i="6"/>
  <c r="I3" i="6"/>
  <c r="J3" i="6" s="1"/>
  <c r="I7" i="6"/>
  <c r="K3" i="6" l="1"/>
  <c r="K5" i="6"/>
  <c r="J4" i="6"/>
  <c r="K4" i="6"/>
  <c r="K6" i="6"/>
  <c r="J2" i="6"/>
  <c r="K8" i="6"/>
  <c r="K2" i="6"/>
  <c r="J7" i="6"/>
  <c r="K7" i="6"/>
</calcChain>
</file>

<file path=xl/sharedStrings.xml><?xml version="1.0" encoding="utf-8"?>
<sst xmlns="http://schemas.openxmlformats.org/spreadsheetml/2006/main" count="1256" uniqueCount="487">
  <si>
    <t>Project Name</t>
  </si>
  <si>
    <t>Integrated Project Management Workbook</t>
  </si>
  <si>
    <t>RAG STATUS</t>
  </si>
  <si>
    <t>AMBER</t>
  </si>
  <si>
    <t>Project Overview</t>
  </si>
  <si>
    <t>Schedule &amp; Commercials</t>
  </si>
  <si>
    <t>Start Date</t>
  </si>
  <si>
    <t>Client</t>
  </si>
  <si>
    <t>Forecast End</t>
  </si>
  <si>
    <t>Project Manager</t>
  </si>
  <si>
    <t>Duration (Days)</t>
  </si>
  <si>
    <t>Project Sponsor</t>
  </si>
  <si>
    <t>Budget</t>
  </si>
  <si>
    <t>Complexity</t>
  </si>
  <si>
    <t>High</t>
  </si>
  <si>
    <t>Benefits</t>
  </si>
  <si>
    <t>Execution Snapshot</t>
  </si>
  <si>
    <t>RAID Snapshot</t>
  </si>
  <si>
    <t>Team &amp; Governance</t>
  </si>
  <si>
    <t>Total Tasks</t>
  </si>
  <si>
    <t>Completed</t>
  </si>
  <si>
    <t>Open Risks</t>
  </si>
  <si>
    <t>Open Issues</t>
  </si>
  <si>
    <t>Stakeholders</t>
  </si>
  <si>
    <t>Resources</t>
  </si>
  <si>
    <t>In Progress</t>
  </si>
  <si>
    <t>Tracked Milestones</t>
  </si>
  <si>
    <t>Open Dependencies</t>
  </si>
  <si>
    <t>Change Requests</t>
  </si>
  <si>
    <t>Cadences</t>
  </si>
  <si>
    <t>Report Date</t>
  </si>
  <si>
    <t>Quick Navigation &amp; Notes</t>
  </si>
  <si>
    <t>Use this sheet as the front page of the workbook. It pulls summary fields from Project Charter and high-level counts from the core tracking tabs.</t>
  </si>
  <si>
    <t>Go to Project Charter</t>
  </si>
  <si>
    <t>Go to Project Plan</t>
  </si>
  <si>
    <t>Best practice: update Project Charter first, then maintain Project Plan / RAID / Stakeholder / Resource sheets. The cover sheet will reflect the latest picture.</t>
  </si>
  <si>
    <t>Go to RAID Dashboard</t>
  </si>
  <si>
    <t>Go to Risk Register</t>
  </si>
  <si>
    <t>Single source of truth for charter, schedule, RAID, stakeholders, resources, changes, and milestone tracking.</t>
  </si>
  <si>
    <t>Go to Stakeholders</t>
  </si>
  <si>
    <t>Go to Milestones</t>
  </si>
  <si>
    <t>Project Name:</t>
  </si>
  <si>
    <t>Project Manager:</t>
  </si>
  <si>
    <t>Project Sponsor:</t>
  </si>
  <si>
    <t>Project Start Date:</t>
  </si>
  <si>
    <t>Estimated Duration:</t>
  </si>
  <si>
    <t>Forecast End Date:</t>
  </si>
  <si>
    <t>Estimated Budget:</t>
  </si>
  <si>
    <t>Estimated Benefits:</t>
  </si>
  <si>
    <t>Project Complexity:</t>
  </si>
  <si>
    <t>Business Case:</t>
  </si>
  <si>
    <t>Project Deliverables:</t>
  </si>
  <si>
    <t>Scope:</t>
  </si>
  <si>
    <t>Milestones:</t>
  </si>
  <si>
    <t>Included</t>
  </si>
  <si>
    <t>Excluded</t>
  </si>
  <si>
    <t>ID</t>
  </si>
  <si>
    <t>Milestone Title</t>
  </si>
  <si>
    <t>Estimated Start</t>
  </si>
  <si>
    <t>Estimated Finish</t>
  </si>
  <si>
    <t>Project Kick Off</t>
  </si>
  <si>
    <t>Top 3 Risks:</t>
  </si>
  <si>
    <t>Risk/Issue Description</t>
  </si>
  <si>
    <t>Risk Rating</t>
  </si>
  <si>
    <t>Mitigation/Action Plan</t>
  </si>
  <si>
    <t>HIGH</t>
  </si>
  <si>
    <t>MEDIUM</t>
  </si>
  <si>
    <t>LOW</t>
  </si>
  <si>
    <t>Project Approval:</t>
  </si>
  <si>
    <t>Task ID</t>
  </si>
  <si>
    <t>WBS</t>
  </si>
  <si>
    <t>Phase</t>
  </si>
  <si>
    <t>Task Name</t>
  </si>
  <si>
    <t>Task Type</t>
  </si>
  <si>
    <t>Predecessor ID</t>
  </si>
  <si>
    <t>Owner</t>
  </si>
  <si>
    <t>Support Team / Function</t>
  </si>
  <si>
    <t>Planned Start Date</t>
  </si>
  <si>
    <t>Planned End Date</t>
  </si>
  <si>
    <t>Actual Start Date</t>
  </si>
  <si>
    <t>Actual End Date</t>
  </si>
  <si>
    <t>Status</t>
  </si>
  <si>
    <t>% Complete</t>
  </si>
  <si>
    <t>Add to Milestone Tracker</t>
  </si>
  <si>
    <t>Baseline Start Date</t>
  </si>
  <si>
    <t>Baseline End Date</t>
  </si>
  <si>
    <t>Variance (Days)</t>
  </si>
  <si>
    <t>RAG Status</t>
  </si>
  <si>
    <t>Comments / Notes</t>
  </si>
  <si>
    <t>_MilestoneSeq</t>
  </si>
  <si>
    <t>Initiation</t>
  </si>
  <si>
    <t>Project Kickoff &amp; Mobilization</t>
  </si>
  <si>
    <t>PM / Governance</t>
  </si>
  <si>
    <t>PMO / Leadership</t>
  </si>
  <si>
    <t>SOW Commencement</t>
  </si>
  <si>
    <t>Contract / Commercial</t>
  </si>
  <si>
    <t>T-001</t>
  </si>
  <si>
    <t>PMO / Contracting</t>
  </si>
  <si>
    <t>Planning</t>
  </si>
  <si>
    <t>Planning / Scheduling</t>
  </si>
  <si>
    <t>T-002</t>
  </si>
  <si>
    <t>PMO / Delivery</t>
  </si>
  <si>
    <t>Monitoring &amp; Control</t>
  </si>
  <si>
    <t>Weekly Governance &amp; Stakeholder Reporting</t>
  </si>
  <si>
    <t>PMO / Client Governance</t>
  </si>
  <si>
    <t>Change Request Scope Realignment &amp; Re-baselining</t>
  </si>
  <si>
    <t>Change Control / Scope</t>
  </si>
  <si>
    <t>T-003</t>
  </si>
  <si>
    <t>Change Request Approval / Signature</t>
  </si>
  <si>
    <t>T-005</t>
  </si>
  <si>
    <t>Leadership / Legal</t>
  </si>
  <si>
    <t>Not Started</t>
  </si>
  <si>
    <t>Execution</t>
  </si>
  <si>
    <t>QA Execution</t>
  </si>
  <si>
    <t>T-010</t>
  </si>
  <si>
    <t>T-011,T-012,T-013,T-014,T-015,T-016</t>
  </si>
  <si>
    <t>T-017</t>
  </si>
  <si>
    <t>T-018</t>
  </si>
  <si>
    <t>Closure</t>
  </si>
  <si>
    <t>T-019</t>
  </si>
  <si>
    <t>T-022</t>
  </si>
  <si>
    <t>T-023</t>
  </si>
  <si>
    <t>T-024</t>
  </si>
  <si>
    <t>Jira / Resolution Tracting</t>
  </si>
  <si>
    <t>Dependency</t>
  </si>
  <si>
    <t>Agency POC</t>
  </si>
  <si>
    <t>On Hold</t>
  </si>
  <si>
    <t>Milestone Ref</t>
  </si>
  <si>
    <t>Milestone / Task Name</t>
  </si>
  <si>
    <t>Notes</t>
  </si>
  <si>
    <t>RAID ID</t>
  </si>
  <si>
    <t>Type</t>
  </si>
  <si>
    <t>Category</t>
  </si>
  <si>
    <t>Impact Area</t>
  </si>
  <si>
    <t>Title</t>
  </si>
  <si>
    <t>Description</t>
  </si>
  <si>
    <t>Impact/Effect of the RAID</t>
  </si>
  <si>
    <t>Date Raised</t>
  </si>
  <si>
    <t>RAID Owner</t>
  </si>
  <si>
    <t>Impact Rating</t>
  </si>
  <si>
    <t>Initial Probability</t>
  </si>
  <si>
    <t>Severity</t>
  </si>
  <si>
    <t>Target Date</t>
  </si>
  <si>
    <t>Mitigation Strategy</t>
  </si>
  <si>
    <t>Next Update</t>
  </si>
  <si>
    <t>Closed Date</t>
  </si>
  <si>
    <t>RAID Response/Plan</t>
  </si>
  <si>
    <t>Risk Seq</t>
  </si>
  <si>
    <t>Risk</t>
  </si>
  <si>
    <t>Scope</t>
  </si>
  <si>
    <t>Schedule</t>
  </si>
  <si>
    <t>Minor</t>
  </si>
  <si>
    <t>Low</t>
  </si>
  <si>
    <t>Mitigate</t>
  </si>
  <si>
    <t>Technical</t>
  </si>
  <si>
    <t>Severe</t>
  </si>
  <si>
    <t>Process</t>
  </si>
  <si>
    <t>Major</t>
  </si>
  <si>
    <t>Critical</t>
  </si>
  <si>
    <t>Security/Compliance</t>
  </si>
  <si>
    <t>Medium</t>
  </si>
  <si>
    <t>Accept</t>
  </si>
  <si>
    <t>Stakeholder</t>
  </si>
  <si>
    <t>Issue</t>
  </si>
  <si>
    <t>Quality</t>
  </si>
  <si>
    <t>Zapcom QA</t>
  </si>
  <si>
    <t>Moderate</t>
  </si>
  <si>
    <t>Other</t>
  </si>
  <si>
    <t>Helper_Row</t>
  </si>
  <si>
    <t>Risk Description</t>
  </si>
  <si>
    <t>Risk Effect on Objectives</t>
  </si>
  <si>
    <t>Impact Category</t>
  </si>
  <si>
    <t>Probability</t>
  </si>
  <si>
    <t>Risk Score</t>
  </si>
  <si>
    <t>Risk Priority</t>
  </si>
  <si>
    <t>Risk Ranking</t>
  </si>
  <si>
    <t>Risk Owner</t>
  </si>
  <si>
    <t>Risk Response</t>
  </si>
  <si>
    <t>Sr. No.</t>
  </si>
  <si>
    <t>Name</t>
  </si>
  <si>
    <t>Designation</t>
  </si>
  <si>
    <t>Department</t>
  </si>
  <si>
    <t>Role</t>
  </si>
  <si>
    <t>Contact</t>
  </si>
  <si>
    <t>Interest</t>
  </si>
  <si>
    <t>Influence</t>
  </si>
  <si>
    <t>Category (Auto)</t>
  </si>
  <si>
    <t>Expectations</t>
  </si>
  <si>
    <t>Communication Type</t>
  </si>
  <si>
    <t>Communication Frequency</t>
  </si>
  <si>
    <t>Comms frequency</t>
  </si>
  <si>
    <t>Comments</t>
  </si>
  <si>
    <t>External</t>
  </si>
  <si>
    <t>Email</t>
  </si>
  <si>
    <t>Daily</t>
  </si>
  <si>
    <t>Customer Success</t>
  </si>
  <si>
    <t>Monthly</t>
  </si>
  <si>
    <t>BA</t>
  </si>
  <si>
    <t>Program Manager</t>
  </si>
  <si>
    <t>CadenceType</t>
  </si>
  <si>
    <t>Frequency</t>
  </si>
  <si>
    <t>GenericStatus</t>
  </si>
  <si>
    <t>ResourceStatus</t>
  </si>
  <si>
    <t>Criticality</t>
  </si>
  <si>
    <t>Priority</t>
  </si>
  <si>
    <t>ChangeStatus</t>
  </si>
  <si>
    <t>Decision</t>
  </si>
  <si>
    <t>UnavailabilityType</t>
  </si>
  <si>
    <t>ImpactLevel</t>
  </si>
  <si>
    <t>AvailabilityStatus</t>
  </si>
  <si>
    <t>TaskType</t>
  </si>
  <si>
    <t>ProjectPlanStatus</t>
  </si>
  <si>
    <t>RAGStatus</t>
  </si>
  <si>
    <t>MilestoneFlag</t>
  </si>
  <si>
    <t>ProjectPhase</t>
  </si>
  <si>
    <t>Governance</t>
  </si>
  <si>
    <t>Planned</t>
  </si>
  <si>
    <t>Requested</t>
  </si>
  <si>
    <t>Submitted</t>
  </si>
  <si>
    <t>Pending</t>
  </si>
  <si>
    <t>Vacation</t>
  </si>
  <si>
    <t>Task</t>
  </si>
  <si>
    <t>Red</t>
  </si>
  <si>
    <t>☐</t>
  </si>
  <si>
    <t>Agile Ceremony</t>
  </si>
  <si>
    <t>Weekly</t>
  </si>
  <si>
    <t>Active</t>
  </si>
  <si>
    <t>Confirmed</t>
  </si>
  <si>
    <t>Under Review</t>
  </si>
  <si>
    <t>Approved</t>
  </si>
  <si>
    <t>Holiday</t>
  </si>
  <si>
    <t>Milestone</t>
  </si>
  <si>
    <t>Amber</t>
  </si>
  <si>
    <t>☑</t>
  </si>
  <si>
    <t>Delivery Review</t>
  </si>
  <si>
    <t>Bi-weekly</t>
  </si>
  <si>
    <t>Rejected</t>
  </si>
  <si>
    <t>Sick Leave</t>
  </si>
  <si>
    <t>Review</t>
  </si>
  <si>
    <t>Green</t>
  </si>
  <si>
    <t>Working Session</t>
  </si>
  <si>
    <t>Closed</t>
  </si>
  <si>
    <t>Rolled Off</t>
  </si>
  <si>
    <t>Deferred</t>
  </si>
  <si>
    <t>Training</t>
  </si>
  <si>
    <t>Cancelled</t>
  </si>
  <si>
    <t>Testing</t>
  </si>
  <si>
    <t>Leadership Review</t>
  </si>
  <si>
    <t>Quarterly</t>
  </si>
  <si>
    <t>Backfill Needed</t>
  </si>
  <si>
    <t>Implemented</t>
  </si>
  <si>
    <t>Partial Availability</t>
  </si>
  <si>
    <t>Delayed</t>
  </si>
  <si>
    <t>UAT</t>
  </si>
  <si>
    <t>Once</t>
  </si>
  <si>
    <t>Deployment</t>
  </si>
  <si>
    <t>As Needed</t>
  </si>
  <si>
    <t>Hypercare</t>
  </si>
  <si>
    <t>Cadence ID</t>
  </si>
  <si>
    <t>Forum / Meeting Name</t>
  </si>
  <si>
    <t>Cadence Type</t>
  </si>
  <si>
    <t>Audience / Participants</t>
  </si>
  <si>
    <t>Purpose / Objective</t>
  </si>
  <si>
    <t>Key Output / Artifact</t>
  </si>
  <si>
    <t>Duration</t>
  </si>
  <si>
    <t>Last Held On</t>
  </si>
  <si>
    <t>Next Scheduled Date</t>
  </si>
  <si>
    <t>Daily Standup</t>
  </si>
  <si>
    <t>Team Members</t>
  </si>
  <si>
    <t>Scrum Master / Product Owner</t>
  </si>
  <si>
    <t>N/A</t>
  </si>
  <si>
    <t>15 mins</t>
  </si>
  <si>
    <t>Weekly status review</t>
  </si>
  <si>
    <t>Stakeholders - SLTs</t>
  </si>
  <si>
    <t>Zapcom QA and Accelya QA</t>
  </si>
  <si>
    <t>45 mins</t>
  </si>
  <si>
    <t>RACI MATRIX</t>
  </si>
  <si>
    <t>Patil</t>
  </si>
  <si>
    <t>Lavanya Uppala</t>
  </si>
  <si>
    <t>PRIORITY</t>
  </si>
  <si>
    <t>STATUS</t>
  </si>
  <si>
    <t>PROJECT DELIVERABLE</t>
  </si>
  <si>
    <t>Project Leadership</t>
  </si>
  <si>
    <t>Team 1</t>
  </si>
  <si>
    <t>Team 2</t>
  </si>
  <si>
    <t>Others</t>
  </si>
  <si>
    <t>PHASE 1 - Initiation</t>
  </si>
  <si>
    <t>I</t>
  </si>
  <si>
    <t>C</t>
  </si>
  <si>
    <t>A/R</t>
  </si>
  <si>
    <t>R</t>
  </si>
  <si>
    <t>Complete</t>
  </si>
  <si>
    <t>PHASE 2 - Planning and Design</t>
  </si>
  <si>
    <t>Access, environment, and tool setup</t>
  </si>
  <si>
    <t>Current-state process / system / API review</t>
  </si>
  <si>
    <t>A</t>
  </si>
  <si>
    <t>Future-state standard / target-state review</t>
  </si>
  <si>
    <t>Gap analysis approach and test strategy definition</t>
  </si>
  <si>
    <t>Test scenario and test case identification</t>
  </si>
  <si>
    <t>Test data preparation</t>
  </si>
  <si>
    <t>PHASE 3 - Execution and Monitoring</t>
  </si>
  <si>
    <t>Test execution and validation</t>
  </si>
  <si>
    <t>Defect / issue triage and clarification management</t>
  </si>
  <si>
    <t>Gap classification and impact assessment</t>
  </si>
  <si>
    <t>JIRA / backlog / user story documentation</t>
  </si>
  <si>
    <t>Dependency and risk management</t>
  </si>
  <si>
    <t>Weekly status reporting and stakeholder communication</t>
  </si>
  <si>
    <t>Change control / scope management</t>
  </si>
  <si>
    <t>PHASE 4 - Closing</t>
  </si>
  <si>
    <t>Final gap analysis report and handoff</t>
  </si>
  <si>
    <t>Project Closing Approval</t>
  </si>
  <si>
    <t>Change ID</t>
  </si>
  <si>
    <t>Date Submitted</t>
  </si>
  <si>
    <t>Requester</t>
  </si>
  <si>
    <t>Change Description</t>
  </si>
  <si>
    <t>Reason / Driver</t>
  </si>
  <si>
    <t>Impacted Area / Deliverable</t>
  </si>
  <si>
    <t>Impact Summary</t>
  </si>
  <si>
    <t>Decision Date</t>
  </si>
  <si>
    <t>Target Implementation Date</t>
  </si>
  <si>
    <t>Follow-up / Notes</t>
  </si>
  <si>
    <t>Zapcom ID</t>
  </si>
  <si>
    <t>Resource Name</t>
  </si>
  <si>
    <t>Workstream / Function</t>
  </si>
  <si>
    <t>Allocation %</t>
  </si>
  <si>
    <t>End Date</t>
  </si>
  <si>
    <t>Primary Manager / Lead</t>
  </si>
  <si>
    <t>Backup / Secondary Owner</t>
  </si>
  <si>
    <t>Allocation Status</t>
  </si>
  <si>
    <t>Business Analyst</t>
  </si>
  <si>
    <t>Srikanthan Adarsh</t>
  </si>
  <si>
    <t>Uma Vigneshwar Bhat</t>
  </si>
  <si>
    <t>Developer</t>
  </si>
  <si>
    <t>Eswaran Pragasam</t>
  </si>
  <si>
    <t>Availability ID (Auto Updates)</t>
  </si>
  <si>
    <t>Resource ID</t>
  </si>
  <si>
    <t>Unavailability Type</t>
  </si>
  <si>
    <t>Days Impacted</t>
  </si>
  <si>
    <t>Backup Assigned</t>
  </si>
  <si>
    <t>Impact Level</t>
  </si>
  <si>
    <t>Smartsync application</t>
  </si>
  <si>
    <t xml:space="preserve">Smartsync </t>
  </si>
  <si>
    <t>Suseela Nookala</t>
  </si>
  <si>
    <t>Ibrahim Houari</t>
  </si>
  <si>
    <t>To build end to end integrations with PMS systems</t>
  </si>
  <si>
    <t xml:space="preserve">EOB Document Handling </t>
  </si>
  <si>
    <t>BRD ,Detailed user stories</t>
  </si>
  <si>
    <t>The API only supports procedural payments at this time.</t>
  </si>
  <si>
    <t xml:space="preserve">It is not currently possible to add supplemental payments (e.g., secondary or non-procedural payments) via the Open Dental API. 
 </t>
  </si>
  <si>
    <t>Supplemental payment functionality is on the Open Dental development roadmap, and it is expected (but not guaranteed) that it will be available in a future release.</t>
  </si>
  <si>
    <t xml:space="preserve">Pre-signed S3 URLs for direct file uploads (minimizing PHI exposure) 
End-to-end encryption (HTTPS in transit, AES-256 at rest)
Strict IAM policies and role-based access control 
Auto-expiry lifecycle policies on AWS S3 to enforce data retention limits 
CloudTrail setup for access logging and audit tracking
Non-production environments will be seeded with anonymized or synthetic data only  </t>
  </si>
  <si>
    <t xml:space="preserve"> 
Secure web-based application architecture hosted on AWS  
Upload and process multi-page EOB documents 
Manual EOB separation and export to Open Dental
Integration to Open Dental software only (Cloud and On-prem Versions)
Admin panel for user management and access roles 
KPI dashboard for clinic performance and usage analytics 
Email-based two-factor authentication (2FA) 
Temporary cloud-based storage with automatic deletion policies
Real Time Notifications with success, warning and errors as part EOB file upload
All insurance sources are provided at the beginning of the project.
Code repository hosted securely (e.g., GitHub or Firebase) 
Training documentation and demo environment  </t>
  </si>
  <si>
    <t>Requirements gathering</t>
  </si>
  <si>
    <t>Development</t>
  </si>
  <si>
    <t>Testing (UAT,Regression)</t>
  </si>
  <si>
    <t>Production</t>
  </si>
  <si>
    <t>Production Maintenance</t>
  </si>
  <si>
    <t>Ibrahim/Sai</t>
  </si>
  <si>
    <t>Deepak Puranam/Sai Konda</t>
  </si>
  <si>
    <t>User Authentication</t>
  </si>
  <si>
    <t>Dashboard (Landing Screen)</t>
  </si>
  <si>
    <t>EOB Upload</t>
  </si>
  <si>
    <t>EOB Processing</t>
  </si>
  <si>
    <t>Implement HIPAA-compliant processes</t>
  </si>
  <si>
    <t>OpenDental API Integration</t>
  </si>
  <si>
    <t>Performance Optimization</t>
  </si>
  <si>
    <t>User Profile</t>
  </si>
  <si>
    <t>Multi Clinic Capability</t>
  </si>
  <si>
    <t>Reporting Dashboard</t>
  </si>
  <si>
    <t>Regression Testing</t>
  </si>
  <si>
    <t>Automation Testing</t>
  </si>
  <si>
    <t>User Acceptance Testing</t>
  </si>
  <si>
    <t>Production readiness and Deployment to Production</t>
  </si>
  <si>
    <t>Production Validation</t>
  </si>
  <si>
    <t>Closure documentation</t>
  </si>
  <si>
    <t>UAT Sessions and Bug fixes</t>
  </si>
  <si>
    <t>Production Readiness</t>
  </si>
  <si>
    <t>Himansu Sekhar Bandha</t>
  </si>
  <si>
    <t>Suresh K</t>
  </si>
  <si>
    <t>Suresh K/Ibrahim Houari</t>
  </si>
  <si>
    <t>PMO / Zapcom</t>
  </si>
  <si>
    <t xml:space="preserve">Zapcom Team </t>
  </si>
  <si>
    <t>Zapcom Team/Client</t>
  </si>
  <si>
    <t>T-021,T-022</t>
  </si>
  <si>
    <t>To improve the AI model's accuracy to achieve results</t>
  </si>
  <si>
    <t>Team to work on the analysis for connecting the Open dental</t>
  </si>
  <si>
    <t>To provide access to the Dr.Ibrahim for him to start early testing</t>
  </si>
  <si>
    <t>Team to work on the cost on the sftp instance and provide an update on  to Dr.Ibrahim</t>
  </si>
  <si>
    <t>Team to share the cost details related to change requests of additional scope.</t>
  </si>
  <si>
    <t>Team to discuss in detail  with Dr.Ibrahim about the account page,AI Page,Manual processing button ,notification settings</t>
  </si>
  <si>
    <t>Need to share with doctor List of API  and set up images for the Developer portal access</t>
  </si>
  <si>
    <t>Need to share the document by correcting the images without patient data and to be slide presentation</t>
  </si>
  <si>
    <t>Need to share the tax ID validation steps from any website (IRS) and the format of tax ID to be corrected</t>
  </si>
  <si>
    <t>Set of examples to be shared by Doctor by tax ID and picture how the clinic should look alike</t>
  </si>
  <si>
    <t>Team to get back on the email 2 way authentication</t>
  </si>
  <si>
    <t>Smartsync needs to be added in email forgot password functionality and create new password should show up in screen</t>
  </si>
  <si>
    <t>All UI related changes will be incorporated in upcoming sprints
Replace “Open Dental” with more general “PMS integration” in notification terminology
Remove the dash in the Tax ID field label (use “TaxID”) for consistent formatting
Reorder address input fields to follow U.S. conventions: Address → City → State → ZIP Code
In the Add Location form:
Display only the logged‑in admin’s name, not a dropdown
In user/account edit screens:
Make admin name and email fields read‑only, and non‑clickable</t>
  </si>
  <si>
    <t>Design and streamline the workflow that links Ibrahim’s login to his assigned location within Smart Sync Dental, and clearly demonstrate how the connection is established.</t>
  </si>
  <si>
    <t>Feedback from doctor in staging environment</t>
  </si>
  <si>
    <t>Domain regards and BAA agreement</t>
  </si>
  <si>
    <t>A SES account needed for converting to production</t>
  </si>
  <si>
    <t>Team is working to optimise the AI models. Detailed report to be shared by manju - ETA - 14 -Aug-2025</t>
  </si>
  <si>
    <t>Himansu has shared the details and 7, 8 action items to be completed</t>
  </si>
  <si>
    <t>Team is working on setting up  in separate environment .</t>
  </si>
  <si>
    <t>Andrew has shared the costing options and doctor confirmed to go ahead.</t>
  </si>
  <si>
    <t>Len and Siddarth is going to discuss with Dr and provide next updates.</t>
  </si>
  <si>
    <t>Call is completed and requirments clarifications are completed</t>
  </si>
  <si>
    <t>Andrew and Himansu will share the list</t>
  </si>
  <si>
    <t>Himansu to update the details and share it</t>
  </si>
  <si>
    <t>it was concluded no third party will be used</t>
  </si>
  <si>
    <t>Doctor has shared requested details</t>
  </si>
  <si>
    <t>Himansu and Andrew to discuss on the technical challenges</t>
  </si>
  <si>
    <t>Team will be taking up as an enhancements and fix the UI changes in the current sprint and complete</t>
  </si>
  <si>
    <t>Team will be taking up as an enhancements and fix the UI changes in the current sprint complete</t>
  </si>
  <si>
    <t xml:space="preserve">Team to share the plan with doctor for the fixes </t>
  </si>
  <si>
    <t>Team to share the required details with doctor and next steps detailed discussion will be planned</t>
  </si>
  <si>
    <t>A business needs to be submitted by dev team.</t>
  </si>
  <si>
    <t>July 28 2025</t>
  </si>
  <si>
    <t>Manjunath Sirur, Andrew team</t>
  </si>
  <si>
    <t>Andrew,Himansu</t>
  </si>
  <si>
    <t>Mani Chandana, Back End team</t>
  </si>
  <si>
    <t>Santhana and Andrew</t>
  </si>
  <si>
    <t>Len Summa, Sai Siddarth</t>
  </si>
  <si>
    <t>Himansu</t>
  </si>
  <si>
    <t>Himansu,Andrew</t>
  </si>
  <si>
    <t>Dr.Ibrahim</t>
  </si>
  <si>
    <t>Himansu and Team</t>
  </si>
  <si>
    <t>Zapcom Team</t>
  </si>
  <si>
    <t>Dr.Ibrahim and zapcom Infra team</t>
  </si>
  <si>
    <t>Andrew ,Md shamim,Mani Chandana</t>
  </si>
  <si>
    <t>July 30 2025</t>
  </si>
  <si>
    <t>July 25 2025</t>
  </si>
  <si>
    <t>Aug 1 2025</t>
  </si>
  <si>
    <t>July 31 2025</t>
  </si>
  <si>
    <t>Aug 19 2025</t>
  </si>
  <si>
    <t>Aug 13 2025</t>
  </si>
  <si>
    <t>Aug 30 2025</t>
  </si>
  <si>
    <t>Avoid</t>
  </si>
  <si>
    <t>Weekly Connect with Doctor and Zapcom team</t>
  </si>
  <si>
    <t>NA</t>
  </si>
  <si>
    <t>Santhanakrishnan</t>
  </si>
  <si>
    <t>Engineering Manager</t>
  </si>
  <si>
    <t>ZCU0025</t>
  </si>
  <si>
    <t>Andrew</t>
  </si>
  <si>
    <t>Tech Lead</t>
  </si>
  <si>
    <t>ZC00590</t>
  </si>
  <si>
    <t>Md Shamim</t>
  </si>
  <si>
    <t>Sr Backend Dev</t>
  </si>
  <si>
    <t>ZCU0019</t>
  </si>
  <si>
    <t>Nagavarshini Surapaneni</t>
  </si>
  <si>
    <t>Jr Backend Dev</t>
  </si>
  <si>
    <t>ZC00320</t>
  </si>
  <si>
    <t>Mani chandana</t>
  </si>
  <si>
    <t>Sr DevOps</t>
  </si>
  <si>
    <t>ZC00623</t>
  </si>
  <si>
    <t>Steeven Raj</t>
  </si>
  <si>
    <t>FrontEnd Dev</t>
  </si>
  <si>
    <t>ZC00673</t>
  </si>
  <si>
    <t>Rashmi Ranjan</t>
  </si>
  <si>
    <t>Sr FrontEnd Dev</t>
  </si>
  <si>
    <t>ZC00766</t>
  </si>
  <si>
    <t>Himansu Sekhar</t>
  </si>
  <si>
    <t>ZC00709</t>
  </si>
  <si>
    <t>Suresh kuruva</t>
  </si>
  <si>
    <t>ZC00536</t>
  </si>
  <si>
    <t>Scrum master</t>
  </si>
  <si>
    <t>ZC00753</t>
  </si>
  <si>
    <t>Customer Success Partner</t>
  </si>
  <si>
    <t>ZC00694</t>
  </si>
  <si>
    <t>ZC00214</t>
  </si>
  <si>
    <t>Manjunath Sirur</t>
  </si>
  <si>
    <t>Data lead</t>
  </si>
  <si>
    <t>ZCU0045</t>
  </si>
  <si>
    <t>Ramakrishna reddy molakaseena</t>
  </si>
  <si>
    <t>Data engineer</t>
  </si>
  <si>
    <t>DevOps</t>
  </si>
  <si>
    <t>Project management</t>
  </si>
  <si>
    <t>Guhana Velayutham</t>
  </si>
  <si>
    <t>Prasanth</t>
  </si>
  <si>
    <t>Jane Angelin</t>
  </si>
  <si>
    <t>31-09-2026</t>
  </si>
  <si>
    <t>Deepak puranam</t>
  </si>
  <si>
    <t>Swathi Dharshana</t>
  </si>
  <si>
    <t>Ibrahim Hoauri</t>
  </si>
  <si>
    <t>Doctor</t>
  </si>
  <si>
    <t>Project Sponser</t>
  </si>
  <si>
    <t>smartsyncdental@gmail.com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</si>
</sst>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_);_(@_)"/>
    <numFmt numFmtId="166" formatCode="dd\-mmm\-yyyy"/>
    <numFmt numFmtId="167" formatCode="mm/dd/yyyy"/>
    <numFmt numFmtId="168" formatCode="mmm\ dd\,\ yyyy"/>
    <numFmt numFmtId="169" formatCode="mmm\ dd"/>
    <numFmt numFmtId="170" formatCode="\$#,##0"/>
    <numFmt numFmtId="171" formatCode="[$-14009]dd/mm/yyyy;@"/>
  </numFmts>
  <fonts count="37" x14ac:knownFonts="1">
    <font>
      <sz val="10"/>
      <name val="Arial"/>
      <family val="2"/>
    </font>
    <font>
      <sz val="11"/>
      <color theme="1"/>
      <name val="Calibri"/>
      <family val="2"/>
    </font>
    <font>
      <sz val="10"/>
      <name val="MS Sans Serif"/>
      <family val="2"/>
    </font>
    <font>
      <sz val="10"/>
      <color theme="1"/>
      <name val="Arial"/>
      <family val="2"/>
    </font>
    <font>
      <b/>
      <sz val="11"/>
      <color theme="1"/>
      <name val="Arial"/>
      <family val="2"/>
    </font>
    <font>
      <b/>
      <sz val="11"/>
      <color theme="1"/>
      <name val="Calibri"/>
      <family val="2"/>
    </font>
    <font>
      <b/>
      <sz val="10"/>
      <color theme="1"/>
      <name val="Arial"/>
      <family val="2"/>
    </font>
    <font>
      <sz val="10"/>
      <color theme="1" tint="0.24958037049470505"/>
      <name val="Arial"/>
      <family val="2"/>
    </font>
    <font>
      <b/>
      <sz val="24"/>
      <name val="Calibri"/>
      <family val="2"/>
    </font>
    <font>
      <b/>
      <sz val="11"/>
      <name val="Calibri"/>
      <family val="2"/>
    </font>
    <font>
      <sz val="11"/>
      <name val="Calibri"/>
      <family val="2"/>
    </font>
    <font>
      <b/>
      <sz val="10"/>
      <color theme="0" tint="-4.9989318521683403E-2"/>
      <name val="Arial"/>
      <family val="2"/>
    </font>
    <font>
      <sz val="11"/>
      <color theme="1"/>
      <name val="Arial"/>
      <family val="2"/>
    </font>
    <font>
      <u/>
      <sz val="10"/>
      <color theme="10"/>
      <name val="Arial"/>
      <family val="2"/>
    </font>
    <font>
      <b/>
      <sz val="24"/>
      <color rgb="FFFFFFFF"/>
      <name val="Calibri"/>
      <family val="2"/>
    </font>
    <font>
      <b/>
      <sz val="12"/>
      <color rgb="FFFFFFFF"/>
      <name val="Calibri"/>
      <family val="2"/>
    </font>
    <font>
      <b/>
      <sz val="10"/>
      <color rgb="FF243B31"/>
      <name val="Calibri"/>
      <family val="2"/>
    </font>
    <font>
      <sz val="11"/>
      <color rgb="FF243B31"/>
      <name val="Calibri"/>
      <family val="2"/>
    </font>
    <font>
      <b/>
      <sz val="24"/>
      <color rgb="FF355A4A"/>
      <name val="Calibri"/>
      <family val="2"/>
    </font>
    <font>
      <sz val="10"/>
      <color rgb="FF243B31"/>
      <name val="Calibri"/>
      <family val="2"/>
    </font>
    <font>
      <b/>
      <sz val="12"/>
      <color rgb="FF355A4A"/>
      <name val="Calibri"/>
      <family val="2"/>
    </font>
    <font>
      <b/>
      <u/>
      <sz val="10"/>
      <color rgb="FFFFFFFF"/>
      <name val="Calibri"/>
      <family val="2"/>
    </font>
    <font>
      <b/>
      <sz val="11"/>
      <color rgb="FF243B31"/>
      <name val="Calibri"/>
      <family val="2"/>
    </font>
    <font>
      <sz val="10"/>
      <name val="Arial"/>
      <family val="2"/>
    </font>
    <font>
      <b/>
      <sz val="24"/>
      <name val="Arial"/>
      <family val="2"/>
      <scheme val="minor"/>
    </font>
    <font>
      <sz val="16"/>
      <color theme="0" tint="-0.499984740745262"/>
      <name val="Arial"/>
      <family val="2"/>
      <scheme val="minor"/>
    </font>
    <font>
      <sz val="14"/>
      <color theme="1"/>
      <name val="Arial"/>
      <family val="2"/>
      <scheme val="minor"/>
    </font>
    <font>
      <sz val="12"/>
      <color theme="0"/>
      <name val="Arial"/>
      <family val="2"/>
      <scheme val="minor"/>
    </font>
    <font>
      <sz val="14"/>
      <color theme="0"/>
      <name val="Arial"/>
      <family val="2"/>
      <scheme val="minor"/>
    </font>
    <font>
      <sz val="11"/>
      <color rgb="FF000000"/>
      <name val="Arial"/>
      <family val="2"/>
      <scheme val="minor"/>
    </font>
    <font>
      <sz val="8"/>
      <name val="Arial"/>
      <family val="2"/>
    </font>
    <font>
      <b/>
      <sz val="11"/>
      <name val="Calibri"/>
      <family val="2"/>
    </font>
    <font>
      <b/>
      <sz val="10"/>
      <name val="Arial"/>
      <family val="2"/>
    </font>
    <font>
      <i/>
      <sz val="12"/>
      <color rgb="FFFF0000"/>
      <name val="Calibri"/>
      <family val="2"/>
    </font>
    <font>
      <sz val="10"/>
      <color rgb="FFFF0000"/>
      <name val="Arial"/>
      <family val="2"/>
    </font>
    <font>
      <sz val="11"/>
      <color rgb="FF000000"/>
      <name val="Calibri"/>
      <family val="2"/>
    </font>
    <font>
      <sz val="11"/>
      <color theme="1"/>
      <name val="Segoe UI"/>
      <family val="2"/>
    </font>
  </fonts>
  <fills count="18">
    <fill>
      <patternFill patternType="none"/>
    </fill>
    <fill>
      <patternFill patternType="gray125"/>
    </fill>
    <fill>
      <patternFill patternType="solid">
        <fgColor rgb="FFFFC000"/>
        <bgColor rgb="FFFECB3C"/>
      </patternFill>
    </fill>
    <fill>
      <patternFill patternType="solid">
        <fgColor rgb="FFE6E6E6"/>
        <bgColor rgb="FFE7E6E6"/>
      </patternFill>
    </fill>
    <fill>
      <patternFill patternType="solid">
        <fgColor rgb="FF92D050"/>
        <bgColor rgb="FFA4CF48"/>
      </patternFill>
    </fill>
    <fill>
      <patternFill patternType="solid">
        <fgColor rgb="FFFF0000"/>
        <bgColor rgb="FFFF5050"/>
      </patternFill>
    </fill>
    <fill>
      <patternFill patternType="solid">
        <fgColor theme="9" tint="0.59987182226020086"/>
        <bgColor rgb="FFD1DDD7"/>
      </patternFill>
    </fill>
    <fill>
      <patternFill patternType="solid">
        <fgColor rgb="FF355A4A"/>
      </patternFill>
    </fill>
    <fill>
      <patternFill patternType="solid">
        <fgColor rgb="FF6F9D8A"/>
      </patternFill>
    </fill>
    <fill>
      <patternFill patternType="solid">
        <fgColor rgb="FFF7FAF8"/>
      </patternFill>
    </fill>
    <fill>
      <patternFill patternType="solid">
        <fgColor rgb="FFFFFFFF"/>
      </patternFill>
    </fill>
    <fill>
      <patternFill patternType="solid">
        <fgColor rgb="FFF3F5F7"/>
      </patternFill>
    </fill>
    <fill>
      <patternFill patternType="solid">
        <fgColor rgb="FFD8B56A"/>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77">
    <border>
      <left/>
      <right/>
      <top/>
      <bottom/>
      <diagonal/>
    </border>
    <border>
      <left style="thin">
        <color auto="1"/>
      </left>
      <right style="thin">
        <color auto="1"/>
      </right>
      <top style="thin">
        <color auto="1"/>
      </top>
      <bottom style="thin">
        <color auto="1"/>
      </bottom>
      <diagonal/>
    </border>
    <border>
      <left style="medium">
        <color theme="0" tint="-4.9989318521683403E-2"/>
      </left>
      <right style="thick">
        <color theme="0"/>
      </right>
      <top style="medium">
        <color theme="0" tint="-4.9989318521683403E-2"/>
      </top>
      <bottom style="thick">
        <color theme="0"/>
      </bottom>
      <diagonal/>
    </border>
    <border>
      <left/>
      <right/>
      <top/>
      <bottom style="thin">
        <color auto="1"/>
      </bottom>
      <diagonal/>
    </border>
    <border>
      <left/>
      <right style="thin">
        <color auto="1"/>
      </right>
      <top/>
      <bottom/>
      <diagonal/>
    </border>
    <border>
      <left/>
      <right/>
      <top style="medium">
        <color auto="1"/>
      </top>
      <bottom/>
      <diagonal/>
    </border>
    <border>
      <left/>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theme="0" tint="-0.14999847407452621"/>
      </left>
      <right/>
      <top/>
      <bottom style="thin">
        <color theme="1" tint="0.49955748161259805"/>
      </bottom>
      <diagonal/>
    </border>
    <border>
      <left/>
      <right style="thick">
        <color theme="0"/>
      </right>
      <top/>
      <bottom style="thin">
        <color theme="1" tint="0.49955748161259805"/>
      </bottom>
      <diagonal/>
    </border>
    <border>
      <left style="thick">
        <color theme="0"/>
      </left>
      <right style="thick">
        <color theme="0"/>
      </right>
      <top/>
      <bottom style="thin">
        <color theme="1" tint="0.49955748161259805"/>
      </bottom>
      <diagonal/>
    </border>
    <border>
      <left style="thick">
        <color theme="0"/>
      </left>
      <right style="medium">
        <color theme="0" tint="-0.14999847407452621"/>
      </right>
      <top/>
      <bottom style="thin">
        <color theme="1" tint="0.49955748161259805"/>
      </bottom>
      <diagonal/>
    </border>
    <border>
      <left style="thin">
        <color theme="0" tint="-0.499984740745262"/>
      </left>
      <right style="thin">
        <color theme="0" tint="-0.34998626667073579"/>
      </right>
      <top style="thin">
        <color theme="1" tint="0.49955748161259805"/>
      </top>
      <bottom style="thin">
        <color theme="1" tint="0.49955748161259805"/>
      </bottom>
      <diagonal/>
    </border>
    <border>
      <left style="thin">
        <color theme="0" tint="-0.34998626667073579"/>
      </left>
      <right style="thin">
        <color theme="0" tint="-0.34998626667073579"/>
      </right>
      <top style="thin">
        <color theme="1" tint="0.49955748161259805"/>
      </top>
      <bottom style="thin">
        <color theme="1" tint="0.49955748161259805"/>
      </bottom>
      <diagonal/>
    </border>
    <border>
      <left style="thin">
        <color theme="0" tint="-0.34998626667073579"/>
      </left>
      <right style="thin">
        <color theme="0" tint="-0.499984740745262"/>
      </right>
      <top style="thin">
        <color theme="1" tint="0.49955748161259805"/>
      </top>
      <bottom style="thin">
        <color theme="1" tint="0.49955748161259805"/>
      </bottom>
      <diagonal/>
    </border>
    <border>
      <left/>
      <right style="medium">
        <color auto="1"/>
      </right>
      <top style="medium">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bottom style="thin">
        <color auto="1"/>
      </bottom>
      <diagonal/>
    </border>
    <border>
      <left style="medium">
        <color auto="1"/>
      </left>
      <right/>
      <top/>
      <bottom style="thin">
        <color auto="1"/>
      </bottom>
      <diagonal/>
    </border>
    <border>
      <left style="thin">
        <color auto="1"/>
      </left>
      <right/>
      <top/>
      <bottom/>
      <diagonal/>
    </border>
    <border>
      <left style="thin">
        <color auto="1"/>
      </left>
      <right/>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medium">
        <color auto="1"/>
      </bottom>
      <diagonal/>
    </border>
    <border>
      <left style="medium">
        <color rgb="FF355A4A"/>
      </left>
      <right style="thin">
        <color rgb="FFB7C7BF"/>
      </right>
      <top style="medium">
        <color rgb="FF355A4A"/>
      </top>
      <bottom style="thin">
        <color rgb="FFB7C7BF"/>
      </bottom>
      <diagonal/>
    </border>
    <border>
      <left style="medium">
        <color rgb="FF355A4A"/>
      </left>
      <right style="thin">
        <color rgb="FFB7C7BF"/>
      </right>
      <top style="thin">
        <color rgb="FFB7C7BF"/>
      </top>
      <bottom style="thin">
        <color rgb="FFB7C7BF"/>
      </bottom>
      <diagonal/>
    </border>
    <border>
      <left style="thin">
        <color rgb="FFB7C7BF"/>
      </left>
      <right style="thin">
        <color rgb="FFB7C7BF"/>
      </right>
      <top style="thin">
        <color rgb="FFB7C7BF"/>
      </top>
      <bottom style="thin">
        <color rgb="FFB7C7BF"/>
      </bottom>
      <diagonal/>
    </border>
    <border>
      <left style="medium">
        <color rgb="FF355A4A"/>
      </left>
      <right style="thin">
        <color rgb="FFB7C7BF"/>
      </right>
      <top style="thin">
        <color rgb="FFB7C7BF"/>
      </top>
      <bottom style="medium">
        <color rgb="FF355A4A"/>
      </bottom>
      <diagonal/>
    </border>
    <border>
      <left style="thin">
        <color rgb="FFB7C7BF"/>
      </left>
      <right style="thin">
        <color rgb="FFB7C7BF"/>
      </right>
      <top style="thin">
        <color rgb="FFB7C7BF"/>
      </top>
      <bottom style="medium">
        <color rgb="FF355A4A"/>
      </bottom>
      <diagonal/>
    </border>
    <border>
      <left/>
      <right/>
      <top style="medium">
        <color rgb="FF355A4A"/>
      </top>
      <bottom/>
      <diagonal/>
    </border>
    <border>
      <left style="medium">
        <color rgb="FF355A4A"/>
      </left>
      <right/>
      <top/>
      <bottom/>
      <diagonal/>
    </border>
    <border>
      <left/>
      <right style="thin">
        <color rgb="FFB7C7BF"/>
      </right>
      <top style="medium">
        <color rgb="FF355A4A"/>
      </top>
      <bottom/>
      <diagonal/>
    </border>
    <border>
      <left/>
      <right style="thin">
        <color rgb="FFB7C7BF"/>
      </right>
      <top/>
      <bottom/>
      <diagonal/>
    </border>
    <border>
      <left style="medium">
        <color rgb="FF355A4A"/>
      </left>
      <right/>
      <top/>
      <bottom style="thin">
        <color rgb="FFB7C7BF"/>
      </bottom>
      <diagonal/>
    </border>
    <border>
      <left/>
      <right/>
      <top/>
      <bottom style="thin">
        <color rgb="FFB7C7BF"/>
      </bottom>
      <diagonal/>
    </border>
    <border>
      <left/>
      <right style="thin">
        <color rgb="FFB7C7BF"/>
      </right>
      <top/>
      <bottom style="thin">
        <color rgb="FFB7C7BF"/>
      </bottom>
      <diagonal/>
    </border>
    <border>
      <left/>
      <right/>
      <top style="thin">
        <color rgb="FFB7C7BF"/>
      </top>
      <bottom/>
      <diagonal/>
    </border>
    <border>
      <left/>
      <right style="thin">
        <color rgb="FFB7C7BF"/>
      </right>
      <top style="thin">
        <color rgb="FFB7C7BF"/>
      </top>
      <bottom/>
      <diagonal/>
    </border>
    <border>
      <left/>
      <right/>
      <top style="thin">
        <color rgb="FFB7C7BF"/>
      </top>
      <bottom style="medium">
        <color rgb="FF355A4A"/>
      </bottom>
      <diagonal/>
    </border>
    <border>
      <left/>
      <right style="thin">
        <color rgb="FFB7C7BF"/>
      </right>
      <top style="thin">
        <color rgb="FFB7C7BF"/>
      </top>
      <bottom style="medium">
        <color rgb="FF355A4A"/>
      </bottom>
      <diagonal/>
    </border>
    <border>
      <left/>
      <right/>
      <top style="medium">
        <color rgb="FF355A4A"/>
      </top>
      <bottom style="thin">
        <color rgb="FFB7C7BF"/>
      </bottom>
      <diagonal/>
    </border>
    <border>
      <left/>
      <right style="thin">
        <color rgb="FFB7C7BF"/>
      </right>
      <top style="medium">
        <color rgb="FF355A4A"/>
      </top>
      <bottom style="thin">
        <color rgb="FFB7C7BF"/>
      </bottom>
      <diagonal/>
    </border>
    <border>
      <left/>
      <right style="thin">
        <color rgb="FFB7C7BF"/>
      </right>
      <top style="thin">
        <color rgb="FFB7C7BF"/>
      </top>
      <bottom style="thin">
        <color rgb="FFB7C7BF"/>
      </bottom>
      <diagonal/>
    </border>
    <border>
      <left/>
      <right/>
      <top style="thin">
        <color rgb="FFB7C7BF"/>
      </top>
      <bottom style="thin">
        <color rgb="FFB7C7BF"/>
      </bottom>
      <diagonal/>
    </border>
    <border>
      <left style="thin">
        <color rgb="FFB7C7BF"/>
      </left>
      <right/>
      <top/>
      <bottom style="thin">
        <color rgb="FFB7C7BF"/>
      </bottom>
      <diagonal/>
    </border>
    <border>
      <left style="thin">
        <color theme="0" tint="-0.249977111117893"/>
      </left>
      <right style="thin">
        <color theme="0" tint="-0.249977111117893"/>
      </right>
      <top style="thick">
        <color theme="0" tint="-0.249977111117893"/>
      </top>
      <bottom/>
      <diagonal/>
    </border>
    <border>
      <left style="thin">
        <color theme="0"/>
      </left>
      <right style="thin">
        <color theme="0"/>
      </right>
      <top style="thin">
        <color theme="0"/>
      </top>
      <bottom style="thin">
        <color theme="0"/>
      </bottom>
      <diagonal/>
    </border>
    <border>
      <left style="thin">
        <color theme="0" tint="-0.249977111117893"/>
      </left>
      <right/>
      <top/>
      <bottom style="dashed">
        <color theme="0" tint="-0.249977111117893"/>
      </bottom>
      <diagonal/>
    </border>
    <border>
      <left style="thin">
        <color theme="0" tint="-0.249977111117893"/>
      </left>
      <right style="thin">
        <color theme="0" tint="-0.249977111117893"/>
      </right>
      <top/>
      <bottom style="dashed">
        <color theme="0" tint="-0.249977111117893"/>
      </bottom>
      <diagonal/>
    </border>
    <border>
      <left style="thin">
        <color theme="0" tint="-0.249977111117893"/>
      </left>
      <right/>
      <top style="dashed">
        <color theme="0" tint="-0.249977111117893"/>
      </top>
      <bottom style="dashed">
        <color theme="0" tint="-0.249977111117893"/>
      </bottom>
      <diagonal/>
    </border>
    <border>
      <left style="thin">
        <color theme="0" tint="-0.249977111117893"/>
      </left>
      <right/>
      <top style="dashed">
        <color theme="0" tint="-0.249977111117893"/>
      </top>
      <bottom style="medium">
        <color theme="0" tint="-0.249977111117893"/>
      </bottom>
      <diagonal/>
    </border>
    <border>
      <left style="thin">
        <color theme="0" tint="-0.249977111117893"/>
      </left>
      <right/>
      <top style="medium">
        <color theme="0" tint="-0.249977111117893"/>
      </top>
      <bottom style="dashed">
        <color theme="0" tint="-0.249977111117893"/>
      </bottom>
      <diagonal/>
    </border>
    <border>
      <left style="thin">
        <color theme="0" tint="-0.249977111117893"/>
      </left>
      <right style="thin">
        <color theme="0" tint="-0.249977111117893"/>
      </right>
      <top style="medium">
        <color theme="0" tint="-0.249977111117893"/>
      </top>
      <bottom style="dashed">
        <color theme="0"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style="thin">
        <color rgb="FFB7C7BF"/>
      </left>
      <right/>
      <top style="thin">
        <color rgb="FFB7C7BF"/>
      </top>
      <bottom style="medium">
        <color rgb="FF355A4A"/>
      </bottom>
      <diagonal/>
    </border>
    <border>
      <left style="thin">
        <color auto="1"/>
      </left>
      <right style="thin">
        <color auto="1"/>
      </right>
      <top/>
      <bottom style="thin">
        <color auto="1"/>
      </bottom>
      <diagonal/>
    </border>
    <border>
      <left style="thin">
        <color auto="1"/>
      </left>
      <right/>
      <top style="thin">
        <color auto="1"/>
      </top>
      <bottom/>
      <diagonal/>
    </border>
  </borders>
  <cellStyleXfs count="11">
    <xf numFmtId="0" fontId="0" fillId="0" borderId="0"/>
    <xf numFmtId="165" fontId="1" fillId="0" borderId="0"/>
    <xf numFmtId="165" fontId="1" fillId="0" borderId="0"/>
    <xf numFmtId="0" fontId="2" fillId="0" borderId="0"/>
    <xf numFmtId="0" fontId="2" fillId="0" borderId="0"/>
    <xf numFmtId="0" fontId="2" fillId="0" borderId="0"/>
    <xf numFmtId="0" fontId="23" fillId="0" borderId="0"/>
    <xf numFmtId="0" fontId="1" fillId="0" borderId="0"/>
    <xf numFmtId="9" fontId="23" fillId="0" borderId="0"/>
    <xf numFmtId="164" fontId="23" fillId="0" borderId="0" applyFont="0" applyFill="0" applyBorder="0" applyAlignment="0" applyProtection="0"/>
    <xf numFmtId="0" fontId="13" fillId="0" borderId="0" applyNumberFormat="0" applyFill="0" applyBorder="0" applyAlignment="0" applyProtection="0"/>
  </cellStyleXfs>
  <cellXfs count="216">
    <xf numFmtId="0" fontId="0" fillId="0" borderId="0" xfId="0"/>
    <xf numFmtId="0" fontId="3" fillId="0" borderId="0" xfId="0" applyFont="1"/>
    <xf numFmtId="0" fontId="3" fillId="0" borderId="0" xfId="0" applyFont="1" applyAlignment="1">
      <alignment vertical="center"/>
    </xf>
    <xf numFmtId="0" fontId="7" fillId="0" borderId="0" xfId="0" applyFont="1"/>
    <xf numFmtId="0" fontId="9" fillId="3" borderId="7" xfId="0" applyFont="1" applyFill="1" applyBorder="1" applyAlignment="1">
      <alignment horizontal="left" vertical="center" wrapText="1"/>
    </xf>
    <xf numFmtId="0" fontId="9" fillId="3" borderId="1" xfId="0" applyFont="1" applyFill="1" applyBorder="1" applyAlignment="1">
      <alignment horizontal="left" vertical="center" wrapText="1"/>
    </xf>
    <xf numFmtId="0" fontId="0" fillId="0" borderId="7" xfId="0" applyBorder="1"/>
    <xf numFmtId="0" fontId="0" fillId="0" borderId="8" xfId="0" applyBorder="1"/>
    <xf numFmtId="0" fontId="9" fillId="3" borderId="15" xfId="0" applyFont="1" applyFill="1" applyBorder="1" applyAlignment="1">
      <alignment horizontal="left" vertical="center" wrapText="1"/>
    </xf>
    <xf numFmtId="0" fontId="9" fillId="3" borderId="16" xfId="0" applyFont="1" applyFill="1" applyBorder="1" applyAlignment="1">
      <alignment horizontal="left" vertical="center" wrapText="1"/>
    </xf>
    <xf numFmtId="0" fontId="9" fillId="3" borderId="8" xfId="0" applyFont="1" applyFill="1" applyBorder="1" applyAlignment="1">
      <alignment horizontal="left" vertical="center" wrapText="1"/>
    </xf>
    <xf numFmtId="0" fontId="0" fillId="0" borderId="17" xfId="0" applyBorder="1" applyAlignment="1">
      <alignment horizontal="left" vertical="center" wrapText="1"/>
    </xf>
    <xf numFmtId="0" fontId="9" fillId="3" borderId="17" xfId="0" applyFont="1" applyFill="1" applyBorder="1" applyAlignment="1">
      <alignment horizontal="left" vertical="center" wrapText="1"/>
    </xf>
    <xf numFmtId="0" fontId="9" fillId="5" borderId="1" xfId="0" applyFont="1" applyFill="1" applyBorder="1" applyAlignment="1">
      <alignment horizontal="center" vertical="center"/>
    </xf>
    <xf numFmtId="0" fontId="9" fillId="2" borderId="1" xfId="0" applyFont="1" applyFill="1" applyBorder="1" applyAlignment="1">
      <alignment horizontal="center" vertical="center"/>
    </xf>
    <xf numFmtId="0" fontId="0" fillId="0" borderId="19" xfId="0" applyBorder="1" applyAlignment="1">
      <alignment horizontal="left" vertical="center" wrapText="1"/>
    </xf>
    <xf numFmtId="0" fontId="9" fillId="2" borderId="20" xfId="0" applyFont="1" applyFill="1" applyBorder="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165" fontId="1" fillId="0" borderId="0" xfId="0" applyNumberFormat="1" applyFont="1" applyAlignment="1">
      <alignment horizontal="left"/>
    </xf>
    <xf numFmtId="0" fontId="6" fillId="0" borderId="24" xfId="0" applyFont="1" applyBorder="1" applyAlignment="1">
      <alignment horizontal="center" vertical="center"/>
    </xf>
    <xf numFmtId="0" fontId="11" fillId="0" borderId="25" xfId="0" applyFont="1" applyBorder="1" applyAlignment="1">
      <alignment horizontal="center" vertical="center"/>
    </xf>
    <xf numFmtId="0" fontId="6" fillId="0" borderId="26" xfId="0" applyFont="1" applyBorder="1" applyAlignment="1">
      <alignment horizontal="center" vertical="center" wrapText="1"/>
    </xf>
    <xf numFmtId="0" fontId="6" fillId="0" borderId="26" xfId="0" applyFont="1" applyBorder="1" applyAlignment="1">
      <alignment horizontal="center" vertical="center"/>
    </xf>
    <xf numFmtId="0" fontId="5" fillId="0" borderId="26" xfId="0" applyFont="1" applyBorder="1" applyAlignment="1">
      <alignment horizontal="center" vertical="center" wrapText="1"/>
    </xf>
    <xf numFmtId="165" fontId="6" fillId="0" borderId="26" xfId="0" applyNumberFormat="1" applyFont="1" applyBorder="1" applyAlignment="1">
      <alignment horizontal="center" vertical="center"/>
    </xf>
    <xf numFmtId="165" fontId="6" fillId="0" borderId="26" xfId="0" applyNumberFormat="1" applyFont="1" applyBorder="1" applyAlignment="1">
      <alignment horizontal="center" vertical="center" wrapText="1"/>
    </xf>
    <xf numFmtId="0" fontId="6" fillId="0" borderId="27" xfId="0" applyFont="1" applyBorder="1" applyAlignment="1">
      <alignment horizontal="center" vertical="center"/>
    </xf>
    <xf numFmtId="1" fontId="3" fillId="0" borderId="28" xfId="0" applyNumberFormat="1" applyFont="1" applyBorder="1" applyAlignment="1">
      <alignment horizontal="center" vertical="center"/>
    </xf>
    <xf numFmtId="0" fontId="4" fillId="0" borderId="2" xfId="0" applyFont="1" applyBorder="1" applyAlignment="1">
      <alignment horizontal="center" vertical="center"/>
    </xf>
    <xf numFmtId="165" fontId="3" fillId="0" borderId="29" xfId="0" applyNumberFormat="1" applyFont="1" applyBorder="1" applyAlignment="1">
      <alignment vertical="center" wrapText="1"/>
    </xf>
    <xf numFmtId="165" fontId="3" fillId="0" borderId="29" xfId="0" applyNumberFormat="1" applyFont="1" applyBorder="1" applyAlignment="1">
      <alignment horizontal="left" vertical="center" wrapText="1"/>
    </xf>
    <xf numFmtId="1" fontId="3" fillId="0" borderId="29" xfId="0" applyNumberFormat="1" applyFont="1" applyBorder="1" applyAlignment="1">
      <alignment horizontal="center" vertical="center" wrapText="1"/>
    </xf>
    <xf numFmtId="14" fontId="3" fillId="0" borderId="29" xfId="0" applyNumberFormat="1" applyFont="1" applyBorder="1" applyAlignment="1">
      <alignment horizontal="left" vertical="center" wrapText="1"/>
    </xf>
    <xf numFmtId="0" fontId="3" fillId="0" borderId="30" xfId="0" applyFont="1" applyBorder="1" applyAlignment="1">
      <alignment vertical="center" wrapText="1"/>
    </xf>
    <xf numFmtId="0" fontId="7" fillId="0" borderId="0" xfId="0" applyFont="1" applyAlignment="1">
      <alignment wrapText="1"/>
    </xf>
    <xf numFmtId="0" fontId="3" fillId="0" borderId="0" xfId="0" applyFont="1" applyAlignment="1">
      <alignment horizontal="left"/>
    </xf>
    <xf numFmtId="0" fontId="4" fillId="6" borderId="1" xfId="0" applyFont="1" applyFill="1" applyBorder="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left" vertical="center" wrapText="1"/>
    </xf>
    <xf numFmtId="166" fontId="12" fillId="0" borderId="1" xfId="0" applyNumberFormat="1" applyFont="1" applyBorder="1" applyAlignment="1">
      <alignment horizontal="left" vertical="center" wrapText="1"/>
    </xf>
    <xf numFmtId="9" fontId="12" fillId="0" borderId="1" xfId="0" applyNumberFormat="1" applyFont="1" applyBorder="1" applyAlignment="1">
      <alignment horizontal="left" vertical="center" wrapText="1"/>
    </xf>
    <xf numFmtId="0" fontId="12" fillId="0" borderId="1" xfId="0" applyFont="1" applyBorder="1" applyAlignment="1">
      <alignment vertical="center" wrapText="1"/>
    </xf>
    <xf numFmtId="167" fontId="12" fillId="0" borderId="1" xfId="0" applyNumberFormat="1" applyFont="1" applyBorder="1" applyAlignment="1">
      <alignment vertical="center" wrapText="1"/>
    </xf>
    <xf numFmtId="9" fontId="12" fillId="0" borderId="1" xfId="0" applyNumberFormat="1" applyFont="1" applyBorder="1" applyAlignment="1">
      <alignment horizontal="center" vertical="center"/>
    </xf>
    <xf numFmtId="0" fontId="0" fillId="11" borderId="43" xfId="0" applyFill="1" applyBorder="1"/>
    <xf numFmtId="0" fontId="0" fillId="11" borderId="44" xfId="0" applyFill="1" applyBorder="1"/>
    <xf numFmtId="0" fontId="24" fillId="13" borderId="0" xfId="0" applyFont="1" applyFill="1" applyAlignment="1">
      <alignment vertical="center"/>
    </xf>
    <xf numFmtId="0" fontId="25" fillId="0" borderId="0" xfId="0" applyFont="1" applyAlignment="1">
      <alignment horizontal="center" vertical="center" wrapText="1"/>
    </xf>
    <xf numFmtId="0" fontId="25" fillId="0" borderId="0" xfId="0" applyFont="1" applyAlignment="1">
      <alignment vertical="center" wrapText="1"/>
    </xf>
    <xf numFmtId="0" fontId="26" fillId="14" borderId="63" xfId="0" applyFont="1" applyFill="1" applyBorder="1" applyAlignment="1">
      <alignment horizontal="center" textRotation="60"/>
    </xf>
    <xf numFmtId="0" fontId="26" fillId="15" borderId="63" xfId="0" applyFont="1" applyFill="1" applyBorder="1" applyAlignment="1">
      <alignment horizontal="center" textRotation="60"/>
    </xf>
    <xf numFmtId="0" fontId="27" fillId="16" borderId="64" xfId="0" applyFont="1" applyFill="1" applyBorder="1" applyAlignment="1">
      <alignment horizontal="center" vertical="center"/>
    </xf>
    <xf numFmtId="0" fontId="27" fillId="17" borderId="65" xfId="0" applyFont="1" applyFill="1" applyBorder="1" applyAlignment="1">
      <alignment vertical="center" wrapText="1"/>
    </xf>
    <xf numFmtId="0" fontId="27" fillId="17" borderId="65" xfId="0" applyFont="1" applyFill="1" applyBorder="1" applyAlignment="1">
      <alignment horizontal="left" vertical="center" wrapText="1" indent="1"/>
    </xf>
    <xf numFmtId="0" fontId="28" fillId="17" borderId="66" xfId="0" applyFont="1" applyFill="1" applyBorder="1" applyAlignment="1">
      <alignment horizontal="center" vertical="center"/>
    </xf>
    <xf numFmtId="0" fontId="29" fillId="0" borderId="65" xfId="0" applyFont="1" applyBorder="1" applyAlignment="1">
      <alignment horizontal="left" vertical="center" wrapText="1" indent="1"/>
    </xf>
    <xf numFmtId="0" fontId="28" fillId="14" borderId="66" xfId="0" applyFont="1" applyFill="1" applyBorder="1" applyAlignment="1">
      <alignment horizontal="center" vertical="center"/>
    </xf>
    <xf numFmtId="0" fontId="28" fillId="15" borderId="66" xfId="0" applyFont="1" applyFill="1" applyBorder="1" applyAlignment="1">
      <alignment horizontal="center" vertical="center"/>
    </xf>
    <xf numFmtId="0" fontId="29" fillId="0" borderId="67" xfId="0" applyFont="1" applyBorder="1" applyAlignment="1">
      <alignment horizontal="left" vertical="center" wrapText="1" indent="1"/>
    </xf>
    <xf numFmtId="0" fontId="29" fillId="0" borderId="68" xfId="0" applyFont="1" applyBorder="1" applyAlignment="1">
      <alignment horizontal="left" vertical="center" wrapText="1" indent="1"/>
    </xf>
    <xf numFmtId="0" fontId="27" fillId="17" borderId="69" xfId="0" applyFont="1" applyFill="1" applyBorder="1" applyAlignment="1">
      <alignment horizontal="left" vertical="center" wrapText="1" indent="1"/>
    </xf>
    <xf numFmtId="0" fontId="28" fillId="17" borderId="70" xfId="0" applyFont="1" applyFill="1" applyBorder="1" applyAlignment="1">
      <alignment horizontal="center" vertical="center"/>
    </xf>
    <xf numFmtId="14" fontId="0" fillId="0" borderId="1" xfId="0" applyNumberFormat="1" applyBorder="1" applyAlignment="1">
      <alignment horizontal="left" vertical="center" wrapText="1"/>
    </xf>
    <xf numFmtId="14" fontId="0" fillId="0" borderId="18" xfId="0" applyNumberFormat="1" applyBorder="1" applyAlignment="1">
      <alignment horizontal="left" vertical="center" wrapText="1"/>
    </xf>
    <xf numFmtId="14" fontId="0" fillId="0" borderId="20" xfId="0" applyNumberFormat="1" applyBorder="1" applyAlignment="1">
      <alignment horizontal="left" vertical="center" wrapText="1"/>
    </xf>
    <xf numFmtId="14" fontId="0" fillId="0" borderId="23" xfId="0" applyNumberFormat="1" applyBorder="1"/>
    <xf numFmtId="0" fontId="0" fillId="0" borderId="0" xfId="0" applyAlignment="1">
      <alignment wrapText="1"/>
    </xf>
    <xf numFmtId="14" fontId="1" fillId="0" borderId="0" xfId="0" applyNumberFormat="1" applyFont="1" applyAlignment="1">
      <alignment wrapText="1"/>
    </xf>
    <xf numFmtId="14" fontId="0" fillId="0" borderId="0" xfId="0" applyNumberFormat="1" applyAlignment="1">
      <alignment wrapText="1"/>
    </xf>
    <xf numFmtId="0" fontId="32" fillId="0" borderId="57" xfId="0" applyFont="1" applyBorder="1" applyAlignment="1">
      <alignment horizontal="center" vertical="center"/>
    </xf>
    <xf numFmtId="0" fontId="1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2" fillId="0" borderId="21" xfId="0" applyFont="1" applyBorder="1" applyAlignment="1">
      <alignment horizontal="center" vertical="center"/>
    </xf>
    <xf numFmtId="0" fontId="12" fillId="0" borderId="73" xfId="0" applyFont="1" applyBorder="1" applyAlignment="1">
      <alignment horizontal="center" vertical="center"/>
    </xf>
    <xf numFmtId="0" fontId="4" fillId="6" borderId="35" xfId="0" applyFont="1" applyFill="1" applyBorder="1" applyAlignment="1">
      <alignment horizontal="center"/>
    </xf>
    <xf numFmtId="0" fontId="4" fillId="6" borderId="75" xfId="0" applyFont="1" applyFill="1" applyBorder="1" applyAlignment="1">
      <alignment horizontal="center"/>
    </xf>
    <xf numFmtId="0" fontId="4" fillId="6" borderId="38" xfId="0" applyFont="1" applyFill="1" applyBorder="1" applyAlignment="1">
      <alignment horizontal="center"/>
    </xf>
    <xf numFmtId="0" fontId="12" fillId="0" borderId="33" xfId="0" applyFont="1" applyBorder="1" applyAlignment="1">
      <alignment horizontal="center" vertical="center"/>
    </xf>
    <xf numFmtId="0" fontId="12" fillId="0" borderId="15" xfId="0" applyFont="1" applyBorder="1" applyAlignment="1">
      <alignment horizontal="left" vertical="center" wrapText="1"/>
    </xf>
    <xf numFmtId="9" fontId="12" fillId="0" borderId="15" xfId="0" applyNumberFormat="1" applyFont="1" applyBorder="1" applyAlignment="1">
      <alignment horizontal="left" vertical="center" wrapText="1"/>
    </xf>
    <xf numFmtId="166" fontId="12" fillId="0" borderId="15" xfId="0" applyNumberFormat="1" applyFont="1" applyBorder="1" applyAlignment="1">
      <alignment horizontal="left" vertical="center" wrapText="1"/>
    </xf>
    <xf numFmtId="0" fontId="12" fillId="0" borderId="76" xfId="0" applyFont="1" applyBorder="1" applyAlignment="1">
      <alignment horizontal="center" vertical="center"/>
    </xf>
    <xf numFmtId="0" fontId="12" fillId="0" borderId="73" xfId="0" applyFont="1" applyBorder="1" applyAlignment="1">
      <alignment horizontal="left" vertical="center" wrapText="1"/>
    </xf>
    <xf numFmtId="0" fontId="12" fillId="0" borderId="76" xfId="0" applyFont="1" applyBorder="1" applyAlignment="1">
      <alignment horizontal="left" vertical="center" wrapText="1"/>
    </xf>
    <xf numFmtId="0" fontId="12" fillId="0" borderId="73" xfId="0" applyFont="1" applyBorder="1" applyAlignment="1">
      <alignment horizontal="left" vertical="center"/>
    </xf>
    <xf numFmtId="0" fontId="4" fillId="6" borderId="75" xfId="0" applyFont="1" applyFill="1" applyBorder="1" applyAlignment="1">
      <alignment horizontal="center" wrapText="1"/>
    </xf>
    <xf numFmtId="0" fontId="12" fillId="0" borderId="15" xfId="0" applyFont="1" applyBorder="1" applyAlignment="1">
      <alignment horizontal="center" vertical="center"/>
    </xf>
    <xf numFmtId="0" fontId="12" fillId="0" borderId="15" xfId="0" applyFont="1" applyBorder="1" applyAlignment="1">
      <alignment horizontal="center" vertical="center" wrapText="1"/>
    </xf>
    <xf numFmtId="0" fontId="13" fillId="0" borderId="15" xfId="0" applyFont="1" applyBorder="1" applyAlignment="1">
      <alignment horizontal="center" vertical="center"/>
    </xf>
    <xf numFmtId="0" fontId="12" fillId="0" borderId="76" xfId="0" applyFont="1" applyBorder="1" applyAlignment="1">
      <alignment horizontal="left" vertical="center"/>
    </xf>
    <xf numFmtId="0" fontId="12" fillId="0" borderId="21" xfId="0" applyFont="1" applyBorder="1" applyAlignment="1">
      <alignment vertical="center" wrapText="1"/>
    </xf>
    <xf numFmtId="0" fontId="12" fillId="0" borderId="73" xfId="0" applyFont="1" applyBorder="1" applyAlignment="1">
      <alignment vertical="center" wrapText="1"/>
    </xf>
    <xf numFmtId="0" fontId="12" fillId="0" borderId="33" xfId="0" applyFont="1" applyBorder="1" applyAlignment="1">
      <alignment vertical="center" wrapText="1"/>
    </xf>
    <xf numFmtId="0" fontId="12" fillId="0" borderId="15" xfId="0" applyFont="1" applyBorder="1" applyAlignment="1">
      <alignment vertical="center" wrapText="1"/>
    </xf>
    <xf numFmtId="167" fontId="12" fillId="0" borderId="15" xfId="0" applyNumberFormat="1" applyFont="1" applyBorder="1" applyAlignment="1">
      <alignment vertical="center" wrapText="1"/>
    </xf>
    <xf numFmtId="9" fontId="12" fillId="0" borderId="15" xfId="0" applyNumberFormat="1" applyFont="1" applyBorder="1" applyAlignment="1">
      <alignment horizontal="center" vertical="center"/>
    </xf>
    <xf numFmtId="0" fontId="12" fillId="0" borderId="76" xfId="0" applyFont="1" applyBorder="1" applyAlignment="1">
      <alignment vertical="center" wrapText="1"/>
    </xf>
    <xf numFmtId="0" fontId="12" fillId="0" borderId="15" xfId="0" applyFont="1" applyBorder="1" applyAlignment="1">
      <alignment horizontal="center" vertical="center"/>
      <extLst>
        <ext xmlns:xfpb="http://schemas.microsoft.com/office/spreadsheetml/2022/featurepropertybag" uri="{C7286773-470A-42A8-94C5-96B5CB345126}">
          <xfpb:xfComplement i="0"/>
        </ext>
      </extLst>
    </xf>
    <xf numFmtId="0" fontId="4" fillId="6" borderId="35" xfId="0" applyFont="1" applyFill="1" applyBorder="1" applyAlignment="1">
      <alignment horizontal="center" wrapText="1"/>
    </xf>
    <xf numFmtId="14" fontId="0" fillId="0" borderId="0" xfId="0" applyNumberFormat="1"/>
    <xf numFmtId="14" fontId="12" fillId="0" borderId="1" xfId="0" applyNumberFormat="1" applyFont="1" applyBorder="1" applyAlignment="1">
      <alignment horizontal="left" vertical="center" wrapText="1"/>
    </xf>
    <xf numFmtId="14" fontId="12" fillId="0" borderId="15" xfId="0" applyNumberFormat="1" applyFont="1" applyBorder="1" applyAlignment="1">
      <alignment horizontal="left" vertical="center" wrapText="1"/>
    </xf>
    <xf numFmtId="0" fontId="0" fillId="0" borderId="1" xfId="0" applyBorder="1" applyAlignment="1">
      <alignment vertical="top"/>
    </xf>
    <xf numFmtId="0" fontId="0" fillId="0" borderId="34" xfId="0" applyBorder="1"/>
    <xf numFmtId="0" fontId="35" fillId="0" borderId="1" xfId="0" applyFont="1" applyBorder="1" applyAlignment="1">
      <alignment horizontal="left" vertical="top" wrapText="1" readingOrder="1"/>
    </xf>
    <xf numFmtId="0" fontId="1" fillId="0" borderId="1" xfId="0" applyFont="1" applyBorder="1" applyAlignment="1">
      <alignment horizontal="left" vertical="top"/>
    </xf>
    <xf numFmtId="0" fontId="0" fillId="0" borderId="1" xfId="0" applyBorder="1" applyAlignment="1">
      <alignment wrapText="1"/>
    </xf>
    <xf numFmtId="0" fontId="0" fillId="0" borderId="1" xfId="0" applyBorder="1"/>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171" fontId="1" fillId="0" borderId="0" xfId="0" applyNumberFormat="1" applyFont="1" applyAlignment="1">
      <alignment wrapText="1"/>
    </xf>
    <xf numFmtId="14" fontId="35" fillId="0" borderId="1" xfId="0" applyNumberFormat="1" applyFont="1" applyBorder="1" applyAlignment="1">
      <alignment horizontal="left" vertical="top" wrapText="1" readingOrder="1"/>
    </xf>
    <xf numFmtId="17" fontId="0" fillId="0" borderId="1" xfId="0" applyNumberFormat="1" applyBorder="1"/>
    <xf numFmtId="0" fontId="36" fillId="0" borderId="0" xfId="0" applyFont="1" applyAlignment="1">
      <alignment vertical="center" wrapText="1"/>
    </xf>
    <xf numFmtId="0" fontId="13" fillId="0" borderId="1" xfId="10" applyBorder="1" applyAlignment="1">
      <alignment horizontal="center" vertical="center" wrapText="1"/>
    </xf>
    <xf numFmtId="0" fontId="21" fillId="7" borderId="44" xfId="0" applyFont="1" applyFill="1" applyBorder="1" applyAlignment="1">
      <alignment horizontal="center" vertical="center" wrapText="1"/>
    </xf>
    <xf numFmtId="0" fontId="0" fillId="0" borderId="55" xfId="0" applyBorder="1"/>
    <xf numFmtId="0" fontId="0" fillId="0" borderId="62" xfId="0" applyBorder="1"/>
    <xf numFmtId="0" fontId="0" fillId="0" borderId="53" xfId="0" applyBorder="1"/>
    <xf numFmtId="0" fontId="17" fillId="10" borderId="44" xfId="0" applyFont="1" applyFill="1" applyBorder="1" applyAlignment="1">
      <alignment horizontal="left" vertical="center"/>
    </xf>
    <xf numFmtId="0" fontId="0" fillId="0" borderId="61" xfId="0" applyBorder="1"/>
    <xf numFmtId="0" fontId="0" fillId="0" borderId="60" xfId="0" applyBorder="1"/>
    <xf numFmtId="0" fontId="33" fillId="0" borderId="45" xfId="0" applyFont="1" applyBorder="1" applyAlignment="1">
      <alignment horizontal="left" vertical="center"/>
    </xf>
    <xf numFmtId="0" fontId="34" fillId="0" borderId="56" xfId="0" applyFont="1" applyBorder="1"/>
    <xf numFmtId="0" fontId="34" fillId="0" borderId="57" xfId="0" applyFont="1" applyBorder="1"/>
    <xf numFmtId="170" fontId="17" fillId="10" borderId="46" xfId="0" applyNumberFormat="1" applyFont="1" applyFill="1" applyBorder="1" applyAlignment="1">
      <alignment horizontal="left" vertical="center"/>
    </xf>
    <xf numFmtId="0" fontId="0" fillId="0" borderId="56" xfId="0" applyBorder="1"/>
    <xf numFmtId="0" fontId="0" fillId="0" borderId="57" xfId="0" applyBorder="1"/>
    <xf numFmtId="0" fontId="16" fillId="9" borderId="43" xfId="0" applyFont="1" applyFill="1" applyBorder="1" applyAlignment="1">
      <alignment horizontal="left" vertical="center"/>
    </xf>
    <xf numFmtId="1" fontId="18" fillId="10" borderId="43" xfId="0" applyNumberFormat="1" applyFont="1" applyFill="1" applyBorder="1" applyAlignment="1">
      <alignment horizontal="center" vertical="center"/>
    </xf>
    <xf numFmtId="0" fontId="0" fillId="0" borderId="51" xfId="0" applyBorder="1"/>
    <xf numFmtId="1" fontId="18" fillId="10" borderId="44" xfId="0" applyNumberFormat="1" applyFont="1" applyFill="1" applyBorder="1" applyAlignment="1">
      <alignment horizontal="center" vertical="center"/>
    </xf>
    <xf numFmtId="0" fontId="15" fillId="8" borderId="42" xfId="0" applyFont="1" applyFill="1" applyBorder="1" applyAlignment="1">
      <alignment horizontal="left" vertical="center"/>
    </xf>
    <xf numFmtId="0" fontId="0" fillId="0" borderId="58" xfId="0" applyBorder="1"/>
    <xf numFmtId="0" fontId="0" fillId="0" borderId="59" xfId="0" applyBorder="1"/>
    <xf numFmtId="164" fontId="17" fillId="10" borderId="44" xfId="9" applyFont="1" applyFill="1" applyBorder="1" applyAlignment="1">
      <alignment horizontal="left" vertical="center"/>
    </xf>
    <xf numFmtId="164" fontId="0" fillId="0" borderId="61" xfId="9" applyFont="1" applyBorder="1" applyAlignment="1"/>
    <xf numFmtId="164" fontId="0" fillId="0" borderId="60" xfId="9" applyFont="1" applyBorder="1" applyAlignment="1"/>
    <xf numFmtId="0" fontId="14" fillId="7" borderId="42" xfId="0" applyFont="1" applyFill="1" applyBorder="1" applyAlignment="1">
      <alignment horizontal="center" vertical="center"/>
    </xf>
    <xf numFmtId="0" fontId="0" fillId="0" borderId="47" xfId="0" applyBorder="1"/>
    <xf numFmtId="0" fontId="0" fillId="0" borderId="49" xfId="0" applyBorder="1"/>
    <xf numFmtId="0" fontId="0" fillId="0" borderId="52" xfId="0" applyBorder="1"/>
    <xf numFmtId="0" fontId="22" fillId="10" borderId="44" xfId="0" applyFont="1" applyFill="1" applyBorder="1" applyAlignment="1">
      <alignment horizontal="left" vertical="center"/>
    </xf>
    <xf numFmtId="168" fontId="22" fillId="10" borderId="44" xfId="0" applyNumberFormat="1" applyFont="1" applyFill="1" applyBorder="1" applyAlignment="1">
      <alignment horizontal="left" vertical="center"/>
    </xf>
    <xf numFmtId="0" fontId="16" fillId="9" borderId="45" xfId="0" applyFont="1" applyFill="1" applyBorder="1" applyAlignment="1">
      <alignment horizontal="left" vertical="center"/>
    </xf>
    <xf numFmtId="0" fontId="16" fillId="10" borderId="43" xfId="0" applyFont="1" applyFill="1" applyBorder="1" applyAlignment="1">
      <alignment horizontal="center" vertical="center" wrapText="1"/>
    </xf>
    <xf numFmtId="0" fontId="16" fillId="10" borderId="44" xfId="0" applyFont="1" applyFill="1" applyBorder="1" applyAlignment="1">
      <alignment horizontal="center" vertical="center" wrapText="1"/>
    </xf>
    <xf numFmtId="0" fontId="19" fillId="11" borderId="43" xfId="0" applyFont="1" applyFill="1" applyBorder="1" applyAlignment="1">
      <alignment horizontal="left" vertical="center" wrapText="1"/>
    </xf>
    <xf numFmtId="0" fontId="20" fillId="11" borderId="43" xfId="0" applyFont="1" applyFill="1" applyBorder="1" applyAlignment="1">
      <alignment horizontal="center" vertical="center" wrapText="1"/>
    </xf>
    <xf numFmtId="0" fontId="0" fillId="0" borderId="54" xfId="0" applyBorder="1"/>
    <xf numFmtId="0" fontId="0" fillId="0" borderId="48" xfId="0" applyBorder="1"/>
    <xf numFmtId="0" fontId="0" fillId="0" borderId="0" xfId="0"/>
    <xf numFmtId="0" fontId="0" fillId="0" borderId="50" xfId="0" applyBorder="1"/>
    <xf numFmtId="169" fontId="18" fillId="10" borderId="44" xfId="0" applyNumberFormat="1" applyFont="1" applyFill="1" applyBorder="1" applyAlignment="1">
      <alignment horizontal="center" vertical="center"/>
    </xf>
    <xf numFmtId="168" fontId="31" fillId="0" borderId="74" xfId="0" applyNumberFormat="1" applyFont="1" applyBorder="1" applyAlignment="1">
      <alignment horizontal="center" vertical="center"/>
    </xf>
    <xf numFmtId="168" fontId="31" fillId="0" borderId="56" xfId="0" applyNumberFormat="1" applyFont="1" applyBorder="1" applyAlignment="1">
      <alignment horizontal="center" vertical="center"/>
    </xf>
    <xf numFmtId="0" fontId="0" fillId="12" borderId="0" xfId="0" applyFill="1"/>
    <xf numFmtId="0" fontId="17" fillId="10" borderId="46" xfId="0" applyFont="1" applyFill="1" applyBorder="1" applyAlignment="1">
      <alignment horizontal="left" vertical="center"/>
    </xf>
    <xf numFmtId="0" fontId="0" fillId="0" borderId="20" xfId="0" applyBorder="1" applyAlignment="1">
      <alignment horizontal="left" vertical="center" wrapText="1"/>
    </xf>
    <xf numFmtId="0" fontId="0" fillId="0" borderId="22" xfId="0" applyBorder="1"/>
    <xf numFmtId="0" fontId="0" fillId="0" borderId="17" xfId="0" applyBorder="1" applyAlignment="1">
      <alignment horizontal="center" vertical="center" wrapText="1"/>
    </xf>
    <xf numFmtId="0" fontId="0" fillId="0" borderId="34" xfId="0" applyBorder="1" applyAlignment="1">
      <alignment wrapText="1"/>
    </xf>
    <xf numFmtId="0" fontId="0" fillId="0" borderId="21" xfId="0" applyBorder="1" applyAlignment="1">
      <alignment wrapText="1"/>
    </xf>
    <xf numFmtId="0" fontId="0" fillId="0" borderId="21" xfId="0" applyBorder="1" applyAlignment="1">
      <alignment horizontal="left" vertical="center" wrapText="1"/>
    </xf>
    <xf numFmtId="0" fontId="0" fillId="0" borderId="21" xfId="0" applyBorder="1"/>
    <xf numFmtId="0" fontId="0" fillId="0" borderId="1" xfId="0" applyBorder="1" applyAlignment="1">
      <alignment horizontal="left" vertical="center" wrapText="1"/>
    </xf>
    <xf numFmtId="0" fontId="9" fillId="3" borderId="21" xfId="0" applyFont="1" applyFill="1" applyBorder="1" applyAlignment="1">
      <alignment horizontal="left" vertical="center" wrapText="1"/>
    </xf>
    <xf numFmtId="0" fontId="0" fillId="0" borderId="22" xfId="0" applyBorder="1" applyAlignment="1">
      <alignment horizontal="left" vertical="center" wrapText="1"/>
    </xf>
    <xf numFmtId="0" fontId="10" fillId="0" borderId="1" xfId="0" applyFont="1" applyBorder="1" applyAlignment="1">
      <alignment horizontal="left" vertical="center" wrapText="1"/>
    </xf>
    <xf numFmtId="0" fontId="0" fillId="0" borderId="34" xfId="0" applyBorder="1"/>
    <xf numFmtId="0" fontId="10" fillId="4" borderId="1"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0" fillId="0" borderId="4" xfId="0" applyBorder="1"/>
    <xf numFmtId="0" fontId="0" fillId="0" borderId="73" xfId="0" applyBorder="1" applyAlignment="1">
      <alignment horizontal="left" vertical="center" wrapText="1"/>
    </xf>
    <xf numFmtId="0" fontId="0" fillId="0" borderId="34" xfId="0" applyBorder="1" applyAlignment="1">
      <alignment horizontal="left" vertical="center" wrapText="1"/>
    </xf>
    <xf numFmtId="0" fontId="9" fillId="3" borderId="1" xfId="0" applyFont="1" applyFill="1" applyBorder="1" applyAlignment="1">
      <alignment horizontal="left" vertical="center" wrapText="1"/>
    </xf>
    <xf numFmtId="14" fontId="10" fillId="0" borderId="1" xfId="0" applyNumberFormat="1" applyFont="1" applyBorder="1" applyAlignment="1">
      <alignment horizontal="left" vertical="center" wrapText="1"/>
    </xf>
    <xf numFmtId="14" fontId="0" fillId="0" borderId="34" xfId="0" applyNumberFormat="1" applyBorder="1"/>
    <xf numFmtId="14" fontId="0" fillId="0" borderId="21" xfId="0" applyNumberFormat="1" applyBorder="1"/>
    <xf numFmtId="164" fontId="10" fillId="0" borderId="1" xfId="9" applyFont="1" applyBorder="1" applyAlignment="1">
      <alignment horizontal="left" vertical="center" wrapText="1"/>
    </xf>
    <xf numFmtId="164" fontId="0" fillId="0" borderId="34" xfId="9" applyFont="1" applyBorder="1" applyAlignment="1"/>
    <xf numFmtId="164" fontId="0" fillId="0" borderId="21" xfId="9" applyFont="1" applyBorder="1" applyAlignment="1"/>
    <xf numFmtId="0" fontId="0" fillId="0" borderId="17" xfId="0" applyBorder="1" applyAlignment="1">
      <alignment horizontal="left" vertical="center" wrapText="1"/>
    </xf>
    <xf numFmtId="0" fontId="9" fillId="3" borderId="12" xfId="0" applyFont="1" applyFill="1" applyBorder="1" applyAlignment="1">
      <alignment horizontal="left" vertical="center" wrapText="1"/>
    </xf>
    <xf numFmtId="0" fontId="0" fillId="0" borderId="3" xfId="0" applyBorder="1"/>
    <xf numFmtId="0" fontId="0" fillId="0" borderId="35" xfId="0" applyBorder="1"/>
    <xf numFmtId="0" fontId="9" fillId="3" borderId="15" xfId="0" applyFont="1" applyFill="1" applyBorder="1" applyAlignment="1">
      <alignment horizontal="left" vertical="center" wrapText="1"/>
    </xf>
    <xf numFmtId="0" fontId="0" fillId="0" borderId="32" xfId="0" applyBorder="1"/>
    <xf numFmtId="0" fontId="0" fillId="0" borderId="33" xfId="0" applyBorder="1"/>
    <xf numFmtId="0" fontId="9" fillId="3" borderId="13" xfId="0" applyFont="1" applyFill="1" applyBorder="1" applyAlignment="1">
      <alignment horizontal="left" vertical="center" wrapText="1"/>
    </xf>
    <xf numFmtId="0" fontId="0" fillId="0" borderId="39" xfId="0" applyBorder="1"/>
    <xf numFmtId="0" fontId="0" fillId="0" borderId="40" xfId="0" applyBorder="1"/>
    <xf numFmtId="0" fontId="10" fillId="0" borderId="1" xfId="0" applyFont="1" applyBorder="1" applyAlignment="1">
      <alignment horizontal="left" vertical="top" wrapText="1"/>
    </xf>
    <xf numFmtId="0" fontId="0" fillId="0" borderId="37" xfId="0" applyBorder="1"/>
    <xf numFmtId="0" fontId="0" fillId="0" borderId="38" xfId="0" applyBorder="1"/>
    <xf numFmtId="0" fontId="0" fillId="0" borderId="41" xfId="0" applyBorder="1" applyAlignment="1">
      <alignment wrapText="1"/>
    </xf>
    <xf numFmtId="0" fontId="0" fillId="0" borderId="22" xfId="0" applyBorder="1" applyAlignment="1">
      <alignment wrapText="1"/>
    </xf>
    <xf numFmtId="0" fontId="10" fillId="0" borderId="12" xfId="0" applyFont="1" applyBorder="1" applyAlignment="1">
      <alignment horizontal="left" vertical="top" wrapText="1"/>
    </xf>
    <xf numFmtId="0" fontId="0" fillId="0" borderId="7" xfId="0" applyBorder="1"/>
    <xf numFmtId="0" fontId="0" fillId="0" borderId="36" xfId="0" applyBorder="1"/>
    <xf numFmtId="0" fontId="8" fillId="0" borderId="11" xfId="0" applyFont="1" applyBorder="1" applyAlignment="1">
      <alignment horizontal="center" vertical="center"/>
    </xf>
    <xf numFmtId="0" fontId="0" fillId="0" borderId="5" xfId="0" applyBorder="1"/>
    <xf numFmtId="0" fontId="0" fillId="0" borderId="31" xfId="0" applyBorder="1"/>
    <xf numFmtId="0" fontId="0" fillId="0" borderId="6" xfId="0" applyBorder="1" applyAlignment="1">
      <alignment horizontal="left" vertical="center" wrapText="1"/>
    </xf>
    <xf numFmtId="0" fontId="0" fillId="0" borderId="6" xfId="0" applyBorder="1"/>
    <xf numFmtId="0" fontId="9" fillId="0" borderId="9" xfId="0" applyFont="1" applyBorder="1" applyAlignment="1">
      <alignment horizontal="left" vertical="center" wrapText="1"/>
    </xf>
    <xf numFmtId="0" fontId="0" fillId="0" borderId="19" xfId="0" applyBorder="1" applyAlignment="1">
      <alignment horizontal="left" vertical="center" wrapText="1"/>
    </xf>
    <xf numFmtId="0" fontId="0" fillId="0" borderId="41" xfId="0" applyBorder="1"/>
    <xf numFmtId="0" fontId="0" fillId="0" borderId="10" xfId="0" applyBorder="1" applyAlignment="1">
      <alignment horizontal="left" vertical="center" wrapText="1"/>
    </xf>
    <xf numFmtId="0" fontId="0" fillId="0" borderId="10" xfId="0" applyBorder="1"/>
    <xf numFmtId="0" fontId="27" fillId="16" borderId="64" xfId="0" applyFont="1" applyFill="1" applyBorder="1" applyAlignment="1">
      <alignment horizontal="center" vertical="center"/>
    </xf>
    <xf numFmtId="0" fontId="0" fillId="0" borderId="71" xfId="0" applyBorder="1"/>
    <xf numFmtId="0" fontId="0" fillId="0" borderId="72" xfId="0" applyBorder="1"/>
  </cellXfs>
  <cellStyles count="11">
    <cellStyle name="Comma 2" xfId="1" xr:uid="{00000000-0005-0000-0000-000001000000}"/>
    <cellStyle name="Comma 4 5" xfId="2" xr:uid="{00000000-0005-0000-0000-000002000000}"/>
    <cellStyle name="Currency" xfId="9" builtinId="4"/>
    <cellStyle name="Hyperlink" xfId="10" builtinId="8"/>
    <cellStyle name="Normal" xfId="0" builtinId="0"/>
    <cellStyle name="Normal 2" xfId="3" xr:uid="{00000000-0005-0000-0000-000003000000}"/>
    <cellStyle name="Normal 2 2" xfId="4" xr:uid="{00000000-0005-0000-0000-000004000000}"/>
    <cellStyle name="Normal 2 2 2" xfId="5" xr:uid="{00000000-0005-0000-0000-000005000000}"/>
    <cellStyle name="Normal 3" xfId="6" xr:uid="{00000000-0005-0000-0000-000006000000}"/>
    <cellStyle name="Normal 4 5" xfId="7" xr:uid="{00000000-0005-0000-0000-000007000000}"/>
    <cellStyle name="Percent 2" xfId="8" xr:uid="{00000000-0005-0000-0000-000008000000}"/>
  </cellStyles>
  <dxfs count="212">
    <dxf>
      <font>
        <name val="Arial"/>
        <family val="2"/>
      </font>
      <fill>
        <patternFill>
          <bgColor rgb="FFFFF2CC"/>
        </patternFill>
      </fill>
    </dxf>
    <dxf>
      <font>
        <name val="Arial"/>
        <family val="2"/>
      </font>
      <fill>
        <patternFill>
          <bgColor rgb="FFF4CCCC"/>
        </patternFill>
      </fill>
    </dxf>
    <dxf>
      <fill>
        <patternFill>
          <bgColor rgb="FFFFA325"/>
        </patternFill>
      </fill>
    </dxf>
    <dxf>
      <fill>
        <patternFill>
          <bgColor rgb="FF00AFB0"/>
        </patternFill>
      </fill>
    </dxf>
    <dxf>
      <fill>
        <patternFill>
          <bgColor rgb="FFEE0A00"/>
        </patternFill>
      </fill>
    </dxf>
    <dxf>
      <fill>
        <patternFill>
          <bgColor rgb="FFB827B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3743705557422"/>
        </patternFill>
      </fill>
    </dxf>
    <dxf>
      <fill>
        <patternFill>
          <bgColor theme="7" tint="0.79998168889431442"/>
        </patternFill>
      </fill>
    </dxf>
    <dxf>
      <fill>
        <patternFill>
          <bgColor rgb="FFABEFEA"/>
        </patternFill>
      </fill>
    </dxf>
    <dxf>
      <fill>
        <patternFill>
          <bgColor rgb="FF5EEAE7"/>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
      <font>
        <color rgb="FF00B050"/>
        <name val="Arial"/>
        <family val="2"/>
      </font>
    </dxf>
    <dxf>
      <font>
        <color rgb="FF0160FF"/>
        <name val="Arial"/>
        <family val="2"/>
      </font>
    </dxf>
    <dxf>
      <font>
        <color rgb="FFFF0000"/>
        <name val="Arial"/>
        <family val="2"/>
      </font>
    </dxf>
    <dxf>
      <font>
        <name val="Arial"/>
        <family val="2"/>
      </font>
      <fill>
        <patternFill>
          <bgColor rgb="FFFF5C5C"/>
        </patternFill>
      </fill>
    </dxf>
    <dxf>
      <font>
        <name val="Arial"/>
        <family val="2"/>
      </font>
      <fill>
        <patternFill>
          <bgColor rgb="FFF28C45"/>
        </patternFill>
      </fill>
    </dxf>
    <dxf>
      <font>
        <name val="Arial"/>
        <family val="2"/>
      </font>
      <fill>
        <patternFill>
          <bgColor rgb="FFF2C744"/>
        </patternFill>
      </fill>
    </dxf>
    <dxf>
      <font>
        <name val="Arial"/>
        <family val="2"/>
      </font>
      <fill>
        <patternFill>
          <bgColor rgb="FF63D356"/>
        </patternFill>
      </fill>
    </dxf>
    <dxf>
      <font>
        <name val="Arial"/>
        <family val="2"/>
      </font>
      <fill>
        <patternFill>
          <bgColor rgb="FFD9EAD3"/>
        </patternFill>
      </fill>
    </dxf>
    <dxf>
      <font>
        <name val="Arial"/>
        <family val="2"/>
      </font>
      <fill>
        <patternFill>
          <bgColor rgb="FFFCE5CD"/>
        </patternFill>
      </fill>
    </dxf>
    <dxf>
      <font>
        <name val="Arial"/>
        <family val="2"/>
      </font>
      <fill>
        <patternFill>
          <bgColor rgb="FFF4CCCC"/>
        </patternFill>
      </fill>
    </dxf>
    <dxf>
      <font>
        <name val="Arial"/>
        <family val="2"/>
      </font>
      <fill>
        <patternFill>
          <bgColor rgb="FFD9EAD3"/>
        </patternFill>
      </fill>
    </dxf>
    <dxf>
      <font>
        <name val="Arial"/>
        <family val="2"/>
      </font>
      <fill>
        <patternFill>
          <bgColor rgb="FFFCE5CD"/>
        </patternFill>
      </fill>
    </dxf>
    <dxf>
      <font>
        <name val="Arial"/>
        <family val="2"/>
      </font>
      <fill>
        <patternFill>
          <bgColor rgb="FFF4CCCC"/>
        </patternFill>
      </fill>
    </dxf>
    <dxf>
      <font>
        <name val="Arial"/>
        <family val="2"/>
      </font>
      <fill>
        <patternFill>
          <bgColor rgb="FFE7E6E6"/>
        </patternFill>
      </fill>
    </dxf>
    <dxf>
      <font>
        <name val="Arial"/>
        <family val="2"/>
      </font>
      <fill>
        <patternFill>
          <bgColor rgb="FFE2F0D9"/>
        </patternFill>
      </fill>
    </dxf>
    <dxf>
      <font>
        <name val="Arial"/>
        <family val="2"/>
      </font>
      <fill>
        <patternFill>
          <bgColor rgb="FFFF0000"/>
        </patternFill>
      </fill>
    </dxf>
    <dxf>
      <font>
        <name val="Arial"/>
        <family val="2"/>
      </font>
      <fill>
        <patternFill>
          <bgColor rgb="FFFFC000"/>
        </patternFill>
      </fill>
    </dxf>
    <dxf>
      <font>
        <name val="Arial"/>
        <family val="2"/>
      </font>
      <fill>
        <patternFill>
          <bgColor rgb="FF92D050"/>
        </patternFill>
      </fill>
    </dxf>
    <dxf>
      <font>
        <name val="Arial"/>
        <family val="2"/>
      </font>
      <fill>
        <patternFill>
          <bgColor rgb="FF92D050"/>
        </patternFill>
      </fill>
    </dxf>
    <dxf>
      <font>
        <name val="Arial"/>
        <family val="2"/>
      </font>
      <fill>
        <patternFill>
          <bgColor rgb="FFFFC000"/>
        </patternFill>
      </fill>
    </dxf>
    <dxf>
      <font>
        <name val="Arial"/>
        <family val="2"/>
      </font>
      <fill>
        <patternFill>
          <bgColor rgb="FFFF0000"/>
        </patternFill>
      </fill>
    </dxf>
    <dxf>
      <fill>
        <patternFill>
          <bgColor rgb="FFFF0000"/>
        </patternFill>
      </fill>
    </dxf>
    <dxf>
      <fill>
        <patternFill>
          <bgColor rgb="FFFFFF00"/>
        </patternFill>
      </fill>
    </dxf>
    <dxf>
      <fill>
        <patternFill>
          <bgColor rgb="FF00B050"/>
        </patternFill>
      </fill>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72" formatCode="m/d/yyyy"/>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72" formatCode="m/d/yyyy"/>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3" formatCode="0%"/>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Segoe UI"/>
        <family val="2"/>
        <scheme val="none"/>
      </font>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Segoe UI"/>
        <family val="2"/>
        <scheme val="none"/>
      </font>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Segoe UI"/>
        <family val="2"/>
        <scheme val="none"/>
      </font>
      <alignment horizontal="general"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6" formatCode="dd\-m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0"/>
        <color theme="10"/>
        <name val="Arial"/>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theme="0" tint="-0.34998626667073579"/>
        </left>
        <right style="thin">
          <color theme="0" tint="-0.499984740745262"/>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72" formatCode="m/d/yyyy"/>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72" formatCode="m/d/yyyy"/>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numFmt numFmtId="165" formatCode="_(* #,##0.00_);_(* \(#,##0.00\);_(* \-??_);_(@_)"/>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1" tint="0.49955748161259805"/>
        </top>
        <bottom style="thin">
          <color theme="1" tint="0.49955748161259805"/>
        </bottom>
        <vertical/>
        <horizontal/>
      </border>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medium">
          <color theme="0" tint="-4.9989318521683403E-2"/>
        </left>
        <right style="thick">
          <color theme="0"/>
        </right>
        <top style="medium">
          <color theme="0" tint="-4.9989318521683403E-2"/>
        </top>
        <bottom style="thick">
          <color theme="0"/>
        </bottom>
        <vertical/>
        <horizontal/>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left style="thin">
          <color theme="0" tint="-0.499984740745262"/>
        </left>
        <right style="thin">
          <color theme="0" tint="-0.34998626667073579"/>
        </right>
        <top style="thin">
          <color theme="1" tint="0.49955748161259805"/>
        </top>
        <bottom style="thin">
          <color theme="1" tint="0.49955748161259805"/>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outline="0">
        <bottom style="thin">
          <color theme="1" tint="0.49955748161259805"/>
        </bottom>
      </border>
    </dxf>
    <dxf>
      <font>
        <b/>
        <i val="0"/>
        <strike val="0"/>
        <condense val="0"/>
        <extend val="0"/>
        <outline val="0"/>
        <shadow val="0"/>
        <u val="none"/>
        <vertAlign val="baseline"/>
        <sz val="10"/>
        <color theme="1"/>
        <name val="Arial"/>
        <family val="2"/>
        <scheme val="none"/>
      </font>
      <numFmt numFmtId="165" formatCode="_(* #,##0.00_);_(* \(#,##0.00\);_(* \-??_);_(@_)"/>
      <alignment horizontal="center" vertical="center" textRotation="0" wrapText="0" indent="0" justifyLastLine="0" shrinkToFit="0" readingOrder="0"/>
      <border diagonalUp="0" diagonalDown="0" outline="0">
        <left style="thick">
          <color theme="0"/>
        </left>
        <right style="thick">
          <color theme="0"/>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72"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72"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1"/>
        <color theme="1"/>
        <name val="Calibri"/>
        <family val="2"/>
      </font>
      <numFmt numFmtId="172"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Arial"/>
        <family val="2"/>
        <scheme val="none"/>
      </font>
      <numFmt numFmtId="1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167" formatCode="mm/dd/yyyy"/>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Arial"/>
        <family val="2"/>
        <scheme val="none"/>
      </font>
      <fill>
        <patternFill patternType="solid">
          <fgColor rgb="FFD1DDD7"/>
          <bgColor theme="9" tint="0.59987182226020086"/>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FF0000"/>
      <rgbColor rgb="FF54D454"/>
      <rgbColor rgb="FFE5F0EC"/>
      <rgbColor rgb="FFFECB3C"/>
      <rgbColor rgb="FFF8D7DA"/>
      <rgbColor rgb="FF59D485"/>
      <rgbColor rgb="FFFCE5CD"/>
      <rgbColor rgb="FF8CB7A3"/>
      <rgbColor rgb="FFFFF2CC"/>
      <rgbColor rgb="FFB27072"/>
      <rgbColor rgb="FFD8E5DF"/>
      <rgbColor rgb="FF50627F"/>
      <rgbColor rgb="FFB2B3B3"/>
      <rgbColor rgb="FF868B8F"/>
      <rgbColor rgb="FFA6A6A6"/>
      <rgbColor rgb="FFFF5050"/>
      <rgbColor rgb="FFFFFFCC"/>
      <rgbColor rgb="FFDEF7E7"/>
      <rgbColor rgb="FFE6E6E6"/>
      <rgbColor rgb="FFFF843F"/>
      <rgbColor rgb="FF0160FF"/>
      <rgbColor rgb="FFBBD5FF"/>
      <rgbColor rgb="FFFFFFD9"/>
      <rgbColor rgb="FFD1DDD7"/>
      <rgbColor rgb="FFF2C744"/>
      <rgbColor rgb="FF63D356"/>
      <rgbColor rgb="FFD9EAD3"/>
      <rgbColor rgb="FFE7E6E6"/>
      <rgbColor rgb="FF6F9D8A"/>
      <rgbColor rgb="FFF2F2F2"/>
      <rgbColor rgb="FF00CC66"/>
      <rgbColor rgb="FFE8F5E9"/>
      <rgbColor rgb="FFE2F0D9"/>
      <rgbColor rgb="FFFFF3CD"/>
      <rgbColor rgb="FF98C1D9"/>
      <rgbColor rgb="FFF4CCCC"/>
      <rgbColor rgb="FFD9D9D9"/>
      <rgbColor rgb="FFFFCCCC"/>
      <rgbColor rgb="FF5D77B0"/>
      <rgbColor rgb="FF2CC3D9"/>
      <rgbColor rgb="FFA4CF48"/>
      <rgbColor rgb="FFFFC000"/>
      <rgbColor rgb="FFF28C45"/>
      <rgbColor rgb="FFFF5C5C"/>
      <rgbColor rgb="FF646A6E"/>
      <rgbColor rgb="FF8394B1"/>
      <rgbColor rgb="FFC8E6C9"/>
      <rgbColor rgb="FF00B050"/>
      <rgbColor rgb="FFDDE9F5"/>
      <rgbColor rgb="FF355A4A"/>
      <rgbColor rgb="FF9DE7B8"/>
      <rgbColor rgb="FF92D050"/>
      <rgbColor rgb="FF44546A"/>
      <rgbColor rgb="FF2932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3A01BC-7633-4CCE-B552-70F00ED98E1A}" name="Table7" displayName="Table7" ref="A1:U201" totalsRowShown="0" headerRowDxfId="211" headerRowBorderDxfId="210" tableBorderDxfId="209" totalsRowBorderDxfId="208">
  <autoFilter ref="A1:U201" xr:uid="{883A01BC-7633-4CCE-B552-70F00ED98E1A}"/>
  <tableColumns count="21">
    <tableColumn id="1" xr3:uid="{8757A7F5-3576-4B1C-98A8-CF2F5DF84495}" name="Task ID" dataDxfId="207">
      <calculatedColumnFormula>IF(D2="","","T-"&amp;TEXT(ROW()-1,"000"))</calculatedColumnFormula>
    </tableColumn>
    <tableColumn id="2" xr3:uid="{A9E1EE89-5838-43CF-9558-BE370408D5E0}" name="WBS" dataDxfId="206"/>
    <tableColumn id="3" xr3:uid="{8165BBCB-D542-4B20-ADD9-C39138FD9443}" name="Phase" dataDxfId="205"/>
    <tableColumn id="4" xr3:uid="{58899F7E-183D-478A-9A5F-E02EEF7271B3}" name="Task Name" dataDxfId="204"/>
    <tableColumn id="5" xr3:uid="{0066959C-7E38-44E6-9CCA-82FC8EFF1B43}" name="Task Type" dataDxfId="203"/>
    <tableColumn id="6" xr3:uid="{83EF2466-D1BF-43E0-9DA3-791032B5C7E8}" name="Predecessor ID" dataDxfId="202"/>
    <tableColumn id="7" xr3:uid="{6CE5A5A6-46B2-43BC-A10F-DAAEAF86B23C}" name="Owner" dataDxfId="201"/>
    <tableColumn id="8" xr3:uid="{0E87046C-0ABA-49FA-95BA-C059655EFB5A}" name="Support Team / Function" dataDxfId="200"/>
    <tableColumn id="9" xr3:uid="{4E812C97-F07B-453F-8E89-CCEB53FE322C}" name="Planned Start Date" dataDxfId="199"/>
    <tableColumn id="10" xr3:uid="{C52BEC5C-FAC8-44AA-9B9F-088D76EB4FAC}" name="Planned End Date" dataDxfId="198"/>
    <tableColumn id="11" xr3:uid="{47EE33CF-1368-4DDD-BF49-F19E2BDA509B}" name="Duration (Days)" dataDxfId="197">
      <calculatedColumnFormula>IF(OR(I2="",J2=""),"",J2-I2+1)</calculatedColumnFormula>
    </tableColumn>
    <tableColumn id="12" xr3:uid="{A4133779-F47A-4C83-B89B-92ABFAD6C143}" name="Actual Start Date" dataDxfId="196"/>
    <tableColumn id="13" xr3:uid="{6E466F46-F906-4F6B-83EE-C50736FCE31F}" name="Actual End Date" dataDxfId="195"/>
    <tableColumn id="14" xr3:uid="{EF1D1C67-20F4-47CE-891A-FE9F773F1217}" name="Status" dataDxfId="194"/>
    <tableColumn id="15" xr3:uid="{FC3A1D49-B25A-4047-A7B0-714D9EDB891E}" name="% Complete" dataDxfId="193"/>
    <tableColumn id="16" xr3:uid="{50E98D8A-8510-4141-A0F6-8921D29797EC}" name="Add to Milestone Tracker" dataDxfId="192"/>
    <tableColumn id="17" xr3:uid="{713471AE-CCE5-4615-A76D-69D97FE80E3D}" name="Baseline Start Date" dataDxfId="191"/>
    <tableColumn id="18" xr3:uid="{632F9CA7-CED3-4E5C-AF0F-8F4691D0BA63}" name="Baseline End Date" dataDxfId="190"/>
    <tableColumn id="19" xr3:uid="{701008C5-A65B-43E1-8BDD-386D1DED2FF8}" name="Variance (Days)" dataDxfId="189">
      <calculatedColumnFormula>IF(A2="","",IF(OR(R2="",J2=""),"",IF(M2&lt;&gt;"",M2-R2,J2-R2)))</calculatedColumnFormula>
    </tableColumn>
    <tableColumn id="20" xr3:uid="{7A088351-8D7F-43BA-8DE0-77333182655A}" name="RAG Status" dataDxfId="188">
      <calculatedColumnFormula>IF(A2="","",IF(N2="Completed","Green",IF(AND(J2&lt;&gt;"",TODAY()&gt;J2),"Red",IF(AND(J2&lt;&gt;"",TODAY()+3&gt;=J2),"Amber","Green"))))</calculatedColumnFormula>
    </tableColumn>
    <tableColumn id="21" xr3:uid="{7B64F9DC-0259-4C05-B545-9439961CDB53}" name="Comments / Notes" dataDxfId="1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7EB8ED-4B0E-4314-801B-6594577BC639}" name="Table6" displayName="Table6" ref="A1:N201" totalsRowShown="0" headerRowDxfId="186" headerRowBorderDxfId="185" tableBorderDxfId="184" totalsRowBorderDxfId="183">
  <autoFilter ref="A1:N201" xr:uid="{B87EB8ED-4B0E-4314-801B-6594577BC639}"/>
  <tableColumns count="14">
    <tableColumn id="1" xr3:uid="{0A6AB5FD-8255-4A16-80E4-3E77EDB7794C}" name="Milestone Ref" dataDxfId="182">
      <calculatedColumnFormula>IF($O2="","",INDEX('Project Plan'!$A$2:$A$201,MATCH($O2,'Project Plan'!$V$2:$V$201,0)))</calculatedColumnFormula>
    </tableColumn>
    <tableColumn id="2" xr3:uid="{DBEE861B-AC01-4600-9039-313698196E8A}" name="WBS" dataDxfId="181">
      <calculatedColumnFormula>IF($O2="","",INDEX('Project Plan'!$B$2:$B$201,MATCH($O2,'Project Plan'!$V$2:$V$201,0)))</calculatedColumnFormula>
    </tableColumn>
    <tableColumn id="3" xr3:uid="{C182244C-411E-4626-AE6F-F0BB2584702C}" name="Phase" dataDxfId="180">
      <calculatedColumnFormula>IF($O2="","",INDEX('Project Plan'!$C$2:$C$201,MATCH($O2,'Project Plan'!$V$2:$V$201,0)))</calculatedColumnFormula>
    </tableColumn>
    <tableColumn id="4" xr3:uid="{32E5364C-FD12-4FF2-A04A-94933358B914}" name="Milestone / Task Name" dataDxfId="179">
      <calculatedColumnFormula>IF($O2="","",INDEX('Project Plan'!$D$2:$D$201,MATCH($O2,'Project Plan'!$V$2:$V$201,0)))</calculatedColumnFormula>
    </tableColumn>
    <tableColumn id="5" xr3:uid="{25D0A528-7906-47CC-A0AF-D0123E5C1845}" name="Owner" dataDxfId="178">
      <calculatedColumnFormula>IF($O2="","",INDEX('Project Plan'!$G$2:$G$201,MATCH($O2,'Project Plan'!$V$2:$V$201,0)))</calculatedColumnFormula>
    </tableColumn>
    <tableColumn id="6" xr3:uid="{6518D494-5236-4D46-B6B0-B896C0E90EB7}" name="Planned Start Date" dataDxfId="177">
      <calculatedColumnFormula>IF($O2="","",INDEX('Project Plan'!$I$2:$I$201,MATCH($O2,'Project Plan'!$V$2:$V$201,0)))</calculatedColumnFormula>
    </tableColumn>
    <tableColumn id="7" xr3:uid="{2141CBBB-C2F3-4ACA-849A-88E92E0D31B6}" name="Planned End Date" dataDxfId="176">
      <calculatedColumnFormula>IF($O2="","",INDEX('Project Plan'!$J$2:$J$201,MATCH($O2,'Project Plan'!$V$2:$V$201,0)))</calculatedColumnFormula>
    </tableColumn>
    <tableColumn id="8" xr3:uid="{3839119C-D314-4A4F-8C0C-B9250D36B9C2}" name="Actual End Date" dataDxfId="175">
      <calculatedColumnFormula>IF($O2="","",INDEX('Project Plan'!$M$2:$M$201,MATCH($O2,'Project Plan'!$V$2:$V$201,0)))</calculatedColumnFormula>
    </tableColumn>
    <tableColumn id="9" xr3:uid="{3460E94B-9636-4645-B1F0-13E783367E60}" name="Status" dataDxfId="174">
      <calculatedColumnFormula>IF($O2="","",INDEX('Project Plan'!$N$2:$N$201,MATCH($O2,'Project Plan'!$V$2:$V$201,0)))</calculatedColumnFormula>
    </tableColumn>
    <tableColumn id="10" xr3:uid="{34AC8E63-273A-4B07-A630-CC1B629CFA57}" name="% Complete" dataDxfId="173">
      <calculatedColumnFormula>IF($O2="","",INDEX('Project Plan'!$O$2:$O$201,MATCH($O2,'Project Plan'!$V$2:$V$201,0)))</calculatedColumnFormula>
    </tableColumn>
    <tableColumn id="11" xr3:uid="{42B07335-AF0F-4F07-BF82-D57DB8335ABD}" name="Baseline End Date" dataDxfId="172">
      <calculatedColumnFormula>IF($O2="","",INDEX('Project Plan'!$R$2:$R$201,MATCH($O2,'Project Plan'!$V$2:$V$201,0)))</calculatedColumnFormula>
    </tableColumn>
    <tableColumn id="12" xr3:uid="{40DA3704-D706-4E6A-BFD6-AD8C33B2EFCF}" name="Variance (Days)" dataDxfId="171">
      <calculatedColumnFormula>IF($O2="","",INDEX('Project Plan'!$S$2:$S$201,MATCH($O2,'Project Plan'!$V$2:$V$201,0)))</calculatedColumnFormula>
    </tableColumn>
    <tableColumn id="13" xr3:uid="{A09844F4-6068-4E1A-B4D9-ADAF50E0B74C}" name="RAG Status" dataDxfId="170">
      <calculatedColumnFormula>IF($O2="","",INDEX('Project Plan'!$T$2:$T$201,MATCH($O2,'Project Plan'!$V$2:$V$201,0)))</calculatedColumnFormula>
    </tableColumn>
    <tableColumn id="14" xr3:uid="{44FFD1CB-5A8C-44EC-8F5C-D53CD03F8307}" name="Notes" dataDxfId="169">
      <calculatedColumnFormula>IF($O2="","",INDEX('Project Plan'!$U$2:$U$201,MATCH($O2,'Project Plan'!$V$2:$V$201,0)))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F2A74-0700-4069-A0CD-DB17E00E85C5}" name="Table1" displayName="Table1" ref="A1:S101" totalsRowShown="0" dataDxfId="168">
  <autoFilter ref="A1:S101" xr:uid="{9ABF2A74-0700-4069-A0CD-DB17E00E85C5}"/>
  <tableColumns count="19">
    <tableColumn id="1" xr3:uid="{5BD58B38-9B8F-4E38-8C66-3C9565023D89}" name="RAID ID" dataDxfId="167"/>
    <tableColumn id="2" xr3:uid="{0D3C6BFC-4CBC-4076-AC2B-E87B0E7D31ED}" name="Type" dataDxfId="166"/>
    <tableColumn id="3" xr3:uid="{56DF384E-3DF0-4CEF-869E-AB7B56D8C433}" name="Category" dataDxfId="165"/>
    <tableColumn id="4" xr3:uid="{8F57AC53-A0E1-4005-A63C-4A36975014DA}" name="Impact Area" dataDxfId="164"/>
    <tableColumn id="5" xr3:uid="{8B083FED-83F7-41DA-BF2F-1AA69C9C8951}" name="Title" dataDxfId="163"/>
    <tableColumn id="6" xr3:uid="{62DD9AAB-B9C4-4B50-95E1-D0E9E6455BB6}" name="Description" dataDxfId="162"/>
    <tableColumn id="7" xr3:uid="{652FFBF2-3B35-432E-A0E1-884FA028C9FE}" name="Impact/Effect of the RAID" dataDxfId="161"/>
    <tableColumn id="8" xr3:uid="{3D840C92-14F1-40FC-8386-DC542FB99852}" name="Date Raised" dataDxfId="160"/>
    <tableColumn id="9" xr3:uid="{310A0B90-0901-4330-A4A8-8668AAEDBD22}" name="RAID Owner" dataDxfId="159"/>
    <tableColumn id="10" xr3:uid="{3650B68D-36CF-4C86-AFF7-CB1CE8277AB1}" name="Impact Rating" dataDxfId="158"/>
    <tableColumn id="11" xr3:uid="{72838AE4-60E6-4C6D-8EFE-BB089605BC68}" name="Initial Probability" dataDxfId="157"/>
    <tableColumn id="12" xr3:uid="{C5704684-F695-42EC-A47B-B4CE35A09F7A}" name="Severity" dataDxfId="156"/>
    <tableColumn id="13" xr3:uid="{905DBE73-3E3D-4004-99B1-3ABF822BAACF}" name="Target Date" dataDxfId="155"/>
    <tableColumn id="14" xr3:uid="{17A73556-F4E0-4C5A-90F2-5BEA1EC0A149}" name="Status" dataDxfId="154"/>
    <tableColumn id="15" xr3:uid="{53670507-100C-4328-AC61-92EC30E23E18}" name="Mitigation Strategy" dataDxfId="153"/>
    <tableColumn id="16" xr3:uid="{09EC3879-BDEF-41FF-8786-87305A814C45}" name="Next Update" dataDxfId="152"/>
    <tableColumn id="17" xr3:uid="{95D5178F-796E-4C06-93CD-6858F4468705}" name="Closed Date" dataDxfId="151"/>
    <tableColumn id="18" xr3:uid="{1DF0B356-FECD-4F6B-8BAB-CF6E0C50E602}" name="RAID Response/Plan" dataDxfId="150"/>
    <tableColumn id="19" xr3:uid="{3C03C169-B973-4277-A954-A11AC88E5034}" name="Risk Seq" dataDxfId="149">
      <calculatedColumnFormula>IF($B2="Risk",COUNTIF($B$2:B2,"Risk"),"")</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198BFC-E3F3-45C4-9B14-544F1711D2DF}" name="Table5" displayName="Table5" ref="A1:Q52" totalsRowShown="0" headerRowDxfId="148" dataDxfId="146" headerRowBorderDxfId="147">
  <autoFilter ref="A1:Q52" xr:uid="{90198BFC-E3F3-45C4-9B14-544F1711D2DF}"/>
  <tableColumns count="17">
    <tableColumn id="1" xr3:uid="{224AEBF4-2CBD-4009-8679-1438A664663B}" name="ID" dataDxfId="145">
      <calculatedColumnFormula>IF($B2="","",IF(IFERROR(INDEX('RAID Log'!$1:$1048576,$B2,MATCH("RAID ID",'RAID Log'!$1:$1,0)),"")="","",IFERROR(INDEX('RAID Log'!$1:$1048576,$B2,MATCH("RAID ID",'RAID Log'!$1:$1,0)),"")))</calculatedColumnFormula>
    </tableColumn>
    <tableColumn id="2" xr3:uid="{8D6AE0DF-384F-4B07-B917-8F6DDC1DEDA8}" name="Helper_Row" dataDxfId="144">
      <calculatedColumnFormula>IFERROR(MATCH(ROW()-1,'RAID Log'!$S:$S,0),"")</calculatedColumnFormula>
    </tableColumn>
    <tableColumn id="3" xr3:uid="{D0003E85-C0D2-4CAA-BBAB-549D4FF63650}" name="Risk Description" dataDxfId="143">
      <calculatedColumnFormula>IF($B2="","",IF(IFERROR(INDEX('RAID Log'!$1:$1048576,$B2,MATCH("Description",'RAID Log'!$1:$1,0)),"")="","",IFERROR(INDEX('RAID Log'!$1:$1048576,$B2,MATCH("Description",'RAID Log'!$1:$1,0)),"")))</calculatedColumnFormula>
    </tableColumn>
    <tableColumn id="4" xr3:uid="{2FA7CB7C-8D71-4C33-B5A5-85C44C03347E}" name="Risk Effect on Objectives" dataDxfId="142">
      <calculatedColumnFormula>IF($B2="","",IF(IFERROR(INDEX('RAID Log'!$1:$1048576,$B2,MATCH("Impact/Effect of the RAID",'RAID Log'!$1:$1,0)),"")="","",IFERROR(INDEX('RAID Log'!$1:$1048576,$B2,MATCH("Impact/Effect of the RAID",'RAID Log'!$1:$1,0)),"")))</calculatedColumnFormula>
    </tableColumn>
    <tableColumn id="5" xr3:uid="{616DE838-0774-44C6-98C4-31F30FB0623B}" name="Impact Area" dataDxfId="141">
      <calculatedColumnFormula>IF($B2="","",IF(IFERROR(INDEX('RAID Log'!$1:$1048576,$B2,MATCH("Impact Area",'RAID Log'!$1:$1,0)),"")="","",IFERROR(INDEX('RAID Log'!$1:$1048576,$B2,MATCH("Impact Area",'RAID Log'!$1:$1,0)),"")))</calculatedColumnFormula>
    </tableColumn>
    <tableColumn id="6" xr3:uid="{09F8A7B5-036E-4797-AF09-DB77D46A0AE9}" name="Impact Category" dataDxfId="140">
      <calculatedColumnFormula>IF($B2="","",IF(IFERROR(INDEX('RAID Log'!$1:$1048576,$B2,MATCH("Impact Area",'RAID Log'!$1:$1,0)),"")="","",IFERROR(INDEX('RAID Log'!$1:$1048576,$B2,MATCH("Impact Area",'RAID Log'!$1:$1,0)),"")))</calculatedColumnFormula>
    </tableColumn>
    <tableColumn id="7" xr3:uid="{B31F5986-262A-4FA0-A426-2C8514184F51}" name="Impact Rating" dataDxfId="139">
      <calculatedColumnFormula>IF($B2="","",IF(IFERROR(INDEX('RAID Log'!$1:$1048576,$B2,MATCH("Impact Rating",'RAID Log'!$1:$1,0)),"")="","",IFERROR(INDEX('RAID Log'!$1:$1048576,$B2,MATCH("Impact Rating",'RAID Log'!$1:$1,0)),"")))</calculatedColumnFormula>
    </tableColumn>
    <tableColumn id="8" xr3:uid="{37A52470-692C-451B-B1E5-811577EA685D}" name="Probability" dataDxfId="138">
      <calculatedColumnFormula>IF($B2="","",IF(IFERROR(INDEX('RAID Log'!$1:$1048576,$B2,MATCH("Initial Probability",'RAID Log'!$1:$1,0)),"")="","",IFERROR(INDEX('RAID Log'!$1:$1048576,$B2,MATCH("Initial Probability",'RAID Log'!$1:$1,0)),"")))</calculatedColumnFormula>
    </tableColumn>
    <tableColumn id="9" xr3:uid="{3BE63C85-BD31-42FD-82CB-8BF6671208CB}" name="Risk Score" dataDxfId="137">
      <calculatedColumnFormula>IF($B2="","",(IF($G2="Severe",25,IF($G2="Major",20,IF($G2="Moderate",15,IF($G2="Minor",10,IF($G2="Insignificant",5,0))))))*IF($H2="Very High",1,IF($H2="High",0.8,IF($H2="Average",0.6,IF($H2="Low",0.4,IF($H2="Very Low",0.2,0))))))</calculatedColumnFormula>
    </tableColumn>
    <tableColumn id="10" xr3:uid="{60EDFB07-A488-4989-8D91-2FA6183B43DC}" name="Risk Priority" dataDxfId="136">
      <calculatedColumnFormula>IF($B2="","",IF($I2&gt;20,"Critical",IF($I2&gt;15,"High",IF($I2&gt;8,"Moderate",IF($I2&gt;3,"Tolerable","Negligible")))))</calculatedColumnFormula>
    </tableColumn>
    <tableColumn id="11" xr3:uid="{4CBF0BBD-DC9E-4995-B480-0AFDA5A1D581}" name="Risk Ranking" dataDxfId="135">
      <calculatedColumnFormula>IF(OR($B2="",UPPER($L2)="CLOSED"),"",COUNTIFS($L$2:$L$52,"&lt;&gt;Closed",$I$2:$I$52,"&gt;"&amp;$I2)+COUNTIFS($L$2:$L$52,"&lt;&gt;Closed",$I$2:$I$52,$I2,$N$2:$N$52,"&lt;"&amp;$N2)+COUNTIFS($L$2:$L$52,"&lt;&gt;Closed",$I$2:$I$52,$I2,$N$2:$N$52,$N2,$B$2:$B$52,"&lt;"&amp;$B2)+1)</calculatedColumnFormula>
    </tableColumn>
    <tableColumn id="12" xr3:uid="{A983A556-BA50-4D46-A052-1D8855C68B7D}" name="Status" dataDxfId="134">
      <calculatedColumnFormula>IF($B2="","",IF(IFERROR(INDEX('RAID Log'!$1:$1048576,$B2,MATCH("Status",'RAID Log'!$1:$1,0)),"")="","",IFERROR(INDEX('RAID Log'!$1:$1048576,$B2,MATCH("Status",'RAID Log'!$1:$1,0)),"")))</calculatedColumnFormula>
    </tableColumn>
    <tableColumn id="13" xr3:uid="{4191F2C0-3CAE-4F5F-B6B9-3440F7831933}" name="Risk Owner" dataDxfId="133">
      <calculatedColumnFormula>IF($B2="","",IF(IFERROR(INDEX('RAID Log'!$1:$1048576,$B2,MATCH("RAID Owner",'RAID Log'!$1:$1,0)),"")="","",IFERROR(INDEX('RAID Log'!$1:$1048576,$B2,MATCH("RAID Owner",'RAID Log'!$1:$1,0)),"")))</calculatedColumnFormula>
    </tableColumn>
    <tableColumn id="14" xr3:uid="{C73EB000-C874-4A50-88D1-A77077D945E5}" name="Date Raised" dataDxfId="132">
      <calculatedColumnFormula>IF($B2="","",IF(IFERROR(INDEX('RAID Log'!$1:$1048576,$B2,MATCH("Date Raised",'RAID Log'!$1:$1,0)),"")="","",IFERROR(INDEX('RAID Log'!$1:$1048576,$B2,MATCH("Date Raised",'RAID Log'!$1:$1,0)),"")))</calculatedColumnFormula>
    </tableColumn>
    <tableColumn id="15" xr3:uid="{2ED29482-C448-41F9-A6FB-B84B69F7E560}" name="Closed Date" dataDxfId="131">
      <calculatedColumnFormula>IF($B2="","",IF(IFERROR(INDEX('RAID Log'!$1:$1048576,$B2,MATCH("Closed Date",'RAID Log'!$1:$1,0)),"")="","",IFERROR(INDEX('RAID Log'!$1:$1048576,$B2,MATCH("Closed Date",'RAID Log'!$1:$1,0)),"")))</calculatedColumnFormula>
    </tableColumn>
    <tableColumn id="16" xr3:uid="{E8928C4E-ABB9-4396-A4C4-19DD223E09E0}" name="Mitigation Strategy" dataDxfId="130">
      <calculatedColumnFormula>IF($B2="","",IF(IFERROR(INDEX('RAID Log'!$1:$1048576,$B2,MATCH("Mitigation Strategy",'RAID Log'!$1:$1,0)),"")="","",IFERROR(INDEX('RAID Log'!$1:$1048576,$B2,MATCH("Mitigation Strategy",'RAID Log'!$1:$1,0)),"")))</calculatedColumnFormula>
    </tableColumn>
    <tableColumn id="17" xr3:uid="{6A0A34A4-7489-4989-B523-E63C59C1389E}" name="Risk Response" dataDxfId="129">
      <calculatedColumnFormula>IF($B2="","",IF(IFERROR(INDEX('RAID Log'!$1:$1048576,$B2,MATCH("RAID Response/Plan",'RAID Log'!$1:$1,0)),"")="","",IFERROR(INDEX('RAID Log'!$1:$1048576,$B2,MATCH("RAID Response/Plan",'RAID Log'!$1:$1,0)),"")))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772097-0D29-4100-A661-76DB98E180E7}" name="Table4" displayName="Table4" ref="A1:O13" totalsRowShown="0" headerRowDxfId="128" dataDxfId="126" headerRowBorderDxfId="127" tableBorderDxfId="125" totalsRowBorderDxfId="124">
  <autoFilter ref="A1:O13" xr:uid="{39772097-0D29-4100-A661-76DB98E180E7}"/>
  <tableColumns count="15">
    <tableColumn id="1" xr3:uid="{51956257-B9D0-4E6D-8E98-11F33CC949DB}" name="Sr. No." dataDxfId="123"/>
    <tableColumn id="2" xr3:uid="{2000E2DF-5B49-441C-8473-06BECDB4C773}" name="Name" dataDxfId="122"/>
    <tableColumn id="3" xr3:uid="{533D3041-7115-45A4-9869-E796B422AA06}" name="Designation" dataDxfId="121"/>
    <tableColumn id="4" xr3:uid="{5B28E717-575A-430E-A5E4-82CBDEE4321D}" name="Department" dataDxfId="120"/>
    <tableColumn id="5" xr3:uid="{F6FC57A5-5F67-4CF6-8023-874D70AE5672}" name="Role" dataDxfId="119"/>
    <tableColumn id="6" xr3:uid="{B33D9BE2-A432-42C1-BE42-EE3772984806}" name="Contact" dataDxfId="118"/>
    <tableColumn id="7" xr3:uid="{FDE31484-EE47-4B7B-9290-25F5256A63E6}" name="Category" dataDxfId="117"/>
    <tableColumn id="8" xr3:uid="{C0A5E181-2924-4021-8FAB-227F7E2158BF}" name="Interest" dataDxfId="116"/>
    <tableColumn id="9" xr3:uid="{736EF33A-D473-45F1-916C-D15050CF322F}" name="Influence" dataDxfId="115"/>
    <tableColumn id="10" xr3:uid="{2DE61269-F95B-4842-B9B1-78A82B44A9DF}" name="Category (Auto)" dataDxfId="114">
      <calculatedColumnFormula>IF(OR($H2="",$I2=""),"",IF(AND($H2&gt;=4,$I2&gt;=4),"Manage Closely",IF(AND($H2&lt;=3,$I2&gt;=4),"Keep Satisfied",IF(AND($H2&gt;=4,$I2&lt;=3),"Keep Informed","Monitor"))))</calculatedColumnFormula>
    </tableColumn>
    <tableColumn id="11" xr3:uid="{596312BA-9CE5-4DD5-A5AC-4C3BFC4FFF5E}" name="Expectations" dataDxfId="113"/>
    <tableColumn id="12" xr3:uid="{F6D7AA5C-8947-45DD-B685-4003AB696DF8}" name="Communication Type" dataDxfId="112"/>
    <tableColumn id="13" xr3:uid="{F6823B5D-86F2-4673-B6EB-980253ACC2EB}" name="Communication Frequency" dataDxfId="111"/>
    <tableColumn id="14" xr3:uid="{816D3D15-3CFE-4992-90F8-6D1060155DA0}" name="Comms frequency" dataDxfId="110"/>
    <tableColumn id="15" xr3:uid="{0B621AA5-0B22-4646-847C-B97B43A44F1D}" name="Comments" dataDxfId="1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180600-6AE1-4619-9435-B5066A6F3CC7}" name="Table3" displayName="Table3" ref="A1:M11" totalsRowShown="0" headerRowDxfId="108" headerRowBorderDxfId="107" tableBorderDxfId="106" totalsRowBorderDxfId="105">
  <autoFilter ref="A1:M11" xr:uid="{13180600-6AE1-4619-9435-B5066A6F3CC7}"/>
  <tableColumns count="13">
    <tableColumn id="1" xr3:uid="{87AF67D0-67D4-4135-83B6-5C2C5360EE46}" name="Cadence ID" dataDxfId="104">
      <calculatedColumnFormula>IF(COUNTA($B2:$M2)=0,"","CAD-"&amp;TEXT(ROW()-1,"000"))</calculatedColumnFormula>
    </tableColumn>
    <tableColumn id="2" xr3:uid="{D4F8AE3E-2688-485A-8EE0-ACDA1507A873}" name="Forum / Meeting Name" dataDxfId="103"/>
    <tableColumn id="3" xr3:uid="{CA8267F5-E4D6-4DEE-948C-6F866BED3E07}" name="Cadence Type" dataDxfId="102"/>
    <tableColumn id="4" xr3:uid="{8F652AC5-FDA4-4EE8-B365-2471DB6362BC}" name="Audience / Participants" dataDxfId="101"/>
    <tableColumn id="5" xr3:uid="{A2BEBA9F-3131-42BD-8670-B34B1803677A}" name="Frequency" dataDxfId="100"/>
    <tableColumn id="6" xr3:uid="{ED940C20-4C9B-4A4B-B5DF-FD2BCF2EEEE5}" name="Owner" dataDxfId="99"/>
    <tableColumn id="7" xr3:uid="{4CB7BECD-29A1-407C-BA48-79E6092FBDB3}" name="Purpose / Objective" dataDxfId="98"/>
    <tableColumn id="8" xr3:uid="{A11FC0DF-071C-4921-8341-C8BC056E53FA}" name="Key Output / Artifact" dataDxfId="97"/>
    <tableColumn id="9" xr3:uid="{5890A035-B5C5-4437-BBAF-B773BCE00649}" name="Duration" dataDxfId="96"/>
    <tableColumn id="10" xr3:uid="{F8CC60BC-24E3-4453-9CB3-A0FA9FEB7620}" name="Status" dataDxfId="95"/>
    <tableColumn id="11" xr3:uid="{3AC45543-E157-4B36-A581-69521DE338A8}" name="Last Held On" dataDxfId="94"/>
    <tableColumn id="12" xr3:uid="{870E3C0D-E7A6-4F70-B7FA-1D71458AD344}" name="Next Scheduled Date" dataDxfId="93"/>
    <tableColumn id="13" xr3:uid="{457E8082-9192-462F-8F3A-B1371D9A3A4A}" name="Notes" dataDxfId="9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C6D2B9-F507-4DEA-9EF8-3269650FB9E1}" name="Table9" displayName="Table9" ref="A1:N11" totalsRowShown="0" headerRowDxfId="91" headerRowBorderDxfId="90" tableBorderDxfId="89" totalsRowBorderDxfId="88">
  <autoFilter ref="A1:N11" xr:uid="{ADC6D2B9-F507-4DEA-9EF8-3269650FB9E1}"/>
  <tableColumns count="14">
    <tableColumn id="1" xr3:uid="{4AA00C8F-3C80-4AD6-97A0-ADCCB92C2935}" name="Change ID" dataDxfId="87">
      <calculatedColumnFormula>IF(COUNTA($D2:$N2)=0,"","CR-"&amp;TEXT(ROW()-1,"000"))</calculatedColumnFormula>
    </tableColumn>
    <tableColumn id="2" xr3:uid="{77AFC3C5-307F-4A56-926B-10C774AEB4E7}" name="Date Submitted" dataDxfId="86"/>
    <tableColumn id="3" xr3:uid="{A61D7175-FE4D-44D7-9AE6-98DF7338309D}" name="Requester" dataDxfId="85"/>
    <tableColumn id="4" xr3:uid="{A4146759-54C9-4F72-BAD3-C42935B5EF31}" name="Change Description" dataDxfId="84"/>
    <tableColumn id="5" xr3:uid="{AF56FA53-8456-4B56-B38B-83D2C074EE43}" name="Reason / Driver" dataDxfId="83"/>
    <tableColumn id="6" xr3:uid="{FAC76D8E-0852-40A2-A4E0-2251A7934959}" name="Impacted Area / Deliverable" dataDxfId="82"/>
    <tableColumn id="7" xr3:uid="{0920380B-0012-4475-B9A0-538353C6E62C}" name="Impact Summary" dataDxfId="81"/>
    <tableColumn id="8" xr3:uid="{0A56D20F-5639-4D19-9237-06C4AD9D71D4}" name="Priority" dataDxfId="80"/>
    <tableColumn id="9" xr3:uid="{7C44E65F-9118-4496-87D7-E851AEC34278}" name="Owner" dataDxfId="79"/>
    <tableColumn id="10" xr3:uid="{6FAAD35C-8A95-42AC-B07A-290973D4C2FC}" name="Status" dataDxfId="78"/>
    <tableColumn id="11" xr3:uid="{22D14FD2-FCBD-41DA-AC01-56D33810CE4C}" name="Decision" dataDxfId="77"/>
    <tableColumn id="12" xr3:uid="{A205F3C1-6D52-48BB-AB1C-C9C382CE454F}" name="Decision Date" dataDxfId="76"/>
    <tableColumn id="13" xr3:uid="{59F06FDC-D988-4294-AF86-860B3F8E58B9}" name="Target Implementation Date" dataDxfId="75"/>
    <tableColumn id="14" xr3:uid="{E0B39EDA-3A3D-4549-973C-C966F05F546C}" name="Follow-up / Notes" dataDxfId="7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B0AA8D-0F43-490F-9A62-8D828C0F14D9}" name="Table2" displayName="Table2" ref="A1:M15" totalsRowShown="0" headerRowDxfId="73" dataDxfId="71" headerRowBorderDxfId="72" tableBorderDxfId="70" totalsRowBorderDxfId="69">
  <autoFilter ref="A1:M15" xr:uid="{89B0AA8D-0F43-490F-9A62-8D828C0F14D9}"/>
  <tableColumns count="13">
    <tableColumn id="1" xr3:uid="{6E07EAD2-1064-4F2C-B7D4-579063C35469}" name="Zapcom ID" dataDxfId="68"/>
    <tableColumn id="2" xr3:uid="{62BE1426-83BA-4C02-820A-6E67E675D4BB}" name="Resource Name" dataDxfId="67"/>
    <tableColumn id="3" xr3:uid="{C59C4724-3726-4493-88D6-7CA46D149881}" name="Role" dataDxfId="66"/>
    <tableColumn id="4" xr3:uid="{CF8FAF04-3AAC-48DC-ACE5-37DC0CA459DC}" name="Workstream / Function" dataDxfId="65"/>
    <tableColumn id="5" xr3:uid="{8C50A98B-B4AA-4FE7-ABBE-00CF4F7767E8}" name="Allocation %" dataDxfId="64"/>
    <tableColumn id="6" xr3:uid="{63888C1C-6E7A-450E-9D23-D2C955925AF4}" name="Start Date" dataDxfId="63"/>
    <tableColumn id="7" xr3:uid="{65CCA911-87B3-47E7-8C1D-FE15C224CF46}" name="End Date" dataDxfId="62"/>
    <tableColumn id="8" xr3:uid="{E3A6547C-4B4A-4B48-9C33-A612D20E0548}" name="Status" dataDxfId="61"/>
    <tableColumn id="9" xr3:uid="{78E9B0B9-5C93-4C05-8A9F-CDD8566095B7}" name="Criticality" dataDxfId="60"/>
    <tableColumn id="10" xr3:uid="{284FD4D1-CC3E-4A54-82E2-51D5A3A1659F}" name="Primary Manager / Lead" dataDxfId="59"/>
    <tableColumn id="11" xr3:uid="{09F35861-3C3B-411B-AEEF-BA66EA8B1176}" name="Backup / Secondary Owner" dataDxfId="58"/>
    <tableColumn id="12" xr3:uid="{F9E68E16-5729-48FF-BF17-7A3B34C4BC6F}" name="Notes" dataDxfId="57"/>
    <tableColumn id="13" xr3:uid="{F518A7CA-2CA5-4CFA-841C-1F6426638C95}" name="Allocation Status" dataDxfId="56">
      <calculatedColumnFormula>IF($B2="","",IF($E2&gt;1,"Overallocated",IF($E2&gt;=0.8,"High Allocation",IF($E2&gt;0,"Planned","Unassigned"))))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F130B6-C7FD-4E2F-B5F7-52C151AA5253}" name="Table8" displayName="Table8" ref="A1:K28" totalsRowShown="0" headerRowDxfId="55" dataDxfId="53" headerRowBorderDxfId="54" tableBorderDxfId="52" totalsRowBorderDxfId="51">
  <autoFilter ref="A1:K28" xr:uid="{00000000-0009-0000-0000-00000C000000}"/>
  <tableColumns count="11">
    <tableColumn id="1" xr3:uid="{69B35A80-7401-4130-95D4-F440C7DD1640}" name="Availability ID (Auto Updates)" dataDxfId="50">
      <calculatedColumnFormula>IF(COUNTA($B2:$K2)=0,"","RAV-"&amp;TEXT(ROW()-1,"000"))</calculatedColumnFormula>
    </tableColumn>
    <tableColumn id="2" xr3:uid="{21B659C7-0C9E-4751-8432-7562CBDE75F8}" name="Resource ID" dataDxfId="49"/>
    <tableColumn id="3" xr3:uid="{6DF50217-F955-43E2-8B9B-E7E2EAC3989C}" name="Resource Name" dataDxfId="48"/>
    <tableColumn id="4" xr3:uid="{10A71DE8-8005-4A16-837B-824EFCEAC5BB}" name="Unavailability Type" dataDxfId="47"/>
    <tableColumn id="5" xr3:uid="{C07DF121-143A-4522-A9B7-2CFA274DE84E}" name="Start Date" dataDxfId="46"/>
    <tableColumn id="6" xr3:uid="{5B22BAAE-8CF1-42BA-AA66-521C03EAD214}" name="End Date" dataDxfId="45"/>
    <tableColumn id="7" xr3:uid="{E77D367E-3B0D-49C8-B12D-91FB43B315CD}" name="Days Impacted" dataDxfId="44">
      <calculatedColumnFormula>IF(OR(Table8[[#This Row],[Start Date]]="",Table8[[#This Row],[End Date]]=""),"",NETWORKDAYS(Table8[[#This Row],[Start Date]],Table8[[#This Row],[End Date]]))</calculatedColumnFormula>
    </tableColumn>
    <tableColumn id="8" xr3:uid="{400D916F-C371-4BE3-875A-E94EC6B4530F}" name="Backup Assigned" dataDxfId="43"/>
    <tableColumn id="9" xr3:uid="{4A566F28-21D2-4859-BA33-6F1BF900F649}" name="Impact Level" dataDxfId="42"/>
    <tableColumn id="10" xr3:uid="{C238657E-ECE1-4EDF-94CB-E9EA10EA15D8}" name="Status" dataDxfId="41"/>
    <tableColumn id="11" xr3:uid="{71B8B006-B6A8-471F-BC83-0F8BCBC090B0}" name="Notes" dataDxfId="40"/>
  </tableColumns>
  <tableStyleInfo name="TableStyleMedium2" showFirstColumn="0" showLastColumn="0" showRowStripes="1" showColumnStripes="0"/>
</table>
</file>

<file path=xl/theme/theme1.xml><?xml version="1.0" encoding="utf-8"?>
<a:theme xmlns:a="http://schemas.openxmlformats.org/drawingml/2006/main" name="DCTemplate">
  <a:themeElements>
    <a:clrScheme name="DCTemplate">
      <a:dk1>
        <a:srgbClr val="293241"/>
      </a:dk1>
      <a:lt1>
        <a:srgbClr val="FFFFFF"/>
      </a:lt1>
      <a:dk2>
        <a:srgbClr val="44546A"/>
      </a:dk2>
      <a:lt2>
        <a:srgbClr val="E7E6E6"/>
      </a:lt2>
      <a:accent1>
        <a:srgbClr val="878D91"/>
      </a:accent1>
      <a:accent2>
        <a:srgbClr val="5BD788"/>
      </a:accent2>
      <a:accent3>
        <a:srgbClr val="DDE9F5"/>
      </a:accent3>
      <a:accent4>
        <a:srgbClr val="B67375"/>
      </a:accent4>
      <a:accent5>
        <a:srgbClr val="2EC6DB"/>
      </a:accent5>
      <a:accent6>
        <a:srgbClr val="5695FF"/>
      </a:accent6>
      <a:hlink>
        <a:srgbClr val="98C1D9"/>
      </a:hlink>
      <a:folHlink>
        <a:srgbClr val="EE6C4D"/>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mailto:smartsyncdental@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L25"/>
  <sheetViews>
    <sheetView showGridLines="0" topLeftCell="A13" zoomScale="90" workbookViewId="0">
      <selection activeCell="K20" sqref="K20:L21"/>
    </sheetView>
  </sheetViews>
  <sheetFormatPr defaultRowHeight="12.5" x14ac:dyDescent="0.25"/>
  <cols>
    <col min="1" max="12" width="16" customWidth="1"/>
  </cols>
  <sheetData>
    <row r="1" spans="1:12" ht="28.15" customHeight="1" x14ac:dyDescent="0.25">
      <c r="A1" s="141" t="s">
        <v>0</v>
      </c>
      <c r="B1" s="142"/>
      <c r="C1" s="142"/>
      <c r="D1" s="142"/>
      <c r="E1" s="142"/>
      <c r="F1" s="142"/>
      <c r="G1" s="142"/>
      <c r="H1" s="142"/>
      <c r="I1" s="142"/>
      <c r="J1" s="142"/>
      <c r="K1" s="142"/>
      <c r="L1" s="143"/>
    </row>
    <row r="2" spans="1:12" ht="28.15" customHeight="1" x14ac:dyDescent="0.25">
      <c r="A2" s="133"/>
      <c r="B2" s="144"/>
      <c r="C2" s="144"/>
      <c r="D2" s="144"/>
      <c r="E2" s="144"/>
      <c r="F2" s="144"/>
      <c r="G2" s="144"/>
      <c r="H2" s="144"/>
      <c r="I2" s="144"/>
      <c r="J2" s="144"/>
      <c r="K2" s="144"/>
      <c r="L2" s="121"/>
    </row>
    <row r="3" spans="1:12" ht="19.899999999999999" customHeight="1" thickBot="1" x14ac:dyDescent="0.3">
      <c r="A3" s="125" t="s">
        <v>1</v>
      </c>
      <c r="B3" s="126"/>
      <c r="C3" s="126"/>
      <c r="D3" s="126"/>
      <c r="E3" s="126"/>
      <c r="F3" s="126"/>
      <c r="G3" s="126"/>
      <c r="H3" s="126"/>
      <c r="I3" s="127"/>
      <c r="J3" s="157" t="s">
        <v>2</v>
      </c>
      <c r="K3" s="158"/>
      <c r="L3" s="73" t="s">
        <v>3</v>
      </c>
    </row>
    <row r="4" spans="1:12" ht="7.9" customHeight="1" thickBot="1" x14ac:dyDescent="0.3">
      <c r="A4" s="159"/>
      <c r="B4" s="154"/>
      <c r="C4" s="154"/>
      <c r="D4" s="154"/>
      <c r="E4" s="154"/>
      <c r="F4" s="154"/>
      <c r="G4" s="154"/>
      <c r="H4" s="154"/>
      <c r="I4" s="154"/>
      <c r="J4" s="154"/>
      <c r="K4" s="154"/>
      <c r="L4" s="154"/>
    </row>
    <row r="5" spans="1:12" ht="22.15" customHeight="1" x14ac:dyDescent="0.25">
      <c r="A5" s="135" t="s">
        <v>4</v>
      </c>
      <c r="B5" s="136"/>
      <c r="C5" s="136"/>
      <c r="D5" s="136"/>
      <c r="E5" s="136"/>
      <c r="F5" s="137"/>
      <c r="G5" s="135" t="s">
        <v>5</v>
      </c>
      <c r="H5" s="136"/>
      <c r="I5" s="136"/>
      <c r="J5" s="136"/>
      <c r="K5" s="136"/>
      <c r="L5" s="137"/>
    </row>
    <row r="6" spans="1:12" ht="19.899999999999999" customHeight="1" x14ac:dyDescent="0.25">
      <c r="A6" s="131" t="s">
        <v>0</v>
      </c>
      <c r="B6" s="124"/>
      <c r="C6" s="145" t="s">
        <v>340</v>
      </c>
      <c r="D6" s="123"/>
      <c r="E6" s="123"/>
      <c r="F6" s="124"/>
      <c r="G6" s="131" t="s">
        <v>6</v>
      </c>
      <c r="H6" s="124"/>
      <c r="I6" s="146">
        <v>45839</v>
      </c>
      <c r="J6" s="123"/>
      <c r="K6" s="123"/>
      <c r="L6" s="124"/>
    </row>
    <row r="7" spans="1:12" ht="19.899999999999999" customHeight="1" x14ac:dyDescent="0.25">
      <c r="A7" s="131" t="s">
        <v>7</v>
      </c>
      <c r="B7" s="124"/>
      <c r="C7" s="122" t="s">
        <v>341</v>
      </c>
      <c r="D7" s="123"/>
      <c r="E7" s="123"/>
      <c r="F7" s="124"/>
      <c r="G7" s="131" t="s">
        <v>8</v>
      </c>
      <c r="H7" s="124"/>
      <c r="I7" s="146">
        <v>46142</v>
      </c>
      <c r="J7" s="123"/>
      <c r="K7" s="123"/>
      <c r="L7" s="124"/>
    </row>
    <row r="8" spans="1:12" ht="19.899999999999999" customHeight="1" x14ac:dyDescent="0.25">
      <c r="A8" s="131" t="s">
        <v>9</v>
      </c>
      <c r="B8" s="124"/>
      <c r="C8" s="145" t="s">
        <v>342</v>
      </c>
      <c r="D8" s="123"/>
      <c r="E8" s="123"/>
      <c r="F8" s="124"/>
      <c r="G8" s="131" t="s">
        <v>10</v>
      </c>
      <c r="H8" s="124"/>
      <c r="I8" s="122">
        <f>I7-I6</f>
        <v>303</v>
      </c>
      <c r="J8" s="123"/>
      <c r="K8" s="123"/>
      <c r="L8" s="124"/>
    </row>
    <row r="9" spans="1:12" ht="19.899999999999999" customHeight="1" x14ac:dyDescent="0.25">
      <c r="A9" s="131" t="s">
        <v>11</v>
      </c>
      <c r="B9" s="124"/>
      <c r="C9" s="145" t="s">
        <v>343</v>
      </c>
      <c r="D9" s="123"/>
      <c r="E9" s="123"/>
      <c r="F9" s="124"/>
      <c r="G9" s="131" t="s">
        <v>12</v>
      </c>
      <c r="H9" s="124"/>
      <c r="I9" s="138">
        <v>60000</v>
      </c>
      <c r="J9" s="139"/>
      <c r="K9" s="139"/>
      <c r="L9" s="140"/>
    </row>
    <row r="10" spans="1:12" ht="19.899999999999999" customHeight="1" x14ac:dyDescent="0.25">
      <c r="A10" s="147" t="s">
        <v>13</v>
      </c>
      <c r="B10" s="130"/>
      <c r="C10" s="160" t="s">
        <v>14</v>
      </c>
      <c r="D10" s="129"/>
      <c r="E10" s="129"/>
      <c r="F10" s="130"/>
      <c r="G10" s="147" t="s">
        <v>15</v>
      </c>
      <c r="H10" s="130"/>
      <c r="I10" s="128" t="s">
        <v>344</v>
      </c>
      <c r="J10" s="129"/>
      <c r="K10" s="129"/>
      <c r="L10" s="130"/>
    </row>
    <row r="11" spans="1:12" x14ac:dyDescent="0.25">
      <c r="A11" s="159"/>
      <c r="B11" s="154"/>
      <c r="C11" s="154"/>
      <c r="D11" s="154"/>
      <c r="E11" s="154"/>
      <c r="F11" s="154"/>
      <c r="G11" s="154"/>
      <c r="H11" s="154"/>
      <c r="I11" s="154"/>
      <c r="J11" s="154"/>
      <c r="K11" s="154"/>
      <c r="L11" s="154"/>
    </row>
    <row r="12" spans="1:12" ht="22.15" customHeight="1" x14ac:dyDescent="0.25">
      <c r="A12" s="135" t="s">
        <v>16</v>
      </c>
      <c r="B12" s="136"/>
      <c r="C12" s="136"/>
      <c r="D12" s="137"/>
      <c r="E12" s="135" t="s">
        <v>17</v>
      </c>
      <c r="F12" s="136"/>
      <c r="G12" s="136"/>
      <c r="H12" s="137"/>
      <c r="I12" s="135" t="s">
        <v>18</v>
      </c>
      <c r="J12" s="136"/>
      <c r="K12" s="136"/>
      <c r="L12" s="137"/>
    </row>
    <row r="13" spans="1:12" ht="28.15" customHeight="1" x14ac:dyDescent="0.25">
      <c r="A13" s="132">
        <f>MAX(COUNTIF('Project Plan'!$D:$D,"&lt;&gt;")-1,0)</f>
        <v>23</v>
      </c>
      <c r="B13" s="119"/>
      <c r="C13" s="134">
        <f>COUNTIF('Project Plan'!$N:$N,"Completed")</f>
        <v>22</v>
      </c>
      <c r="D13" s="119"/>
      <c r="E13" s="132">
        <f>COUNTIFS('RAID Log'!$B:$B,"Risk",'RAID Log'!$N:$N,"&lt;&gt;Closed")</f>
        <v>1</v>
      </c>
      <c r="F13" s="119"/>
      <c r="G13" s="134">
        <f>COUNTIFS('RAID Log'!$B:$B,"Issue",'RAID Log'!$N:$N,"&lt;&gt;Closed")</f>
        <v>1</v>
      </c>
      <c r="H13" s="119"/>
      <c r="I13" s="132">
        <f>MAX(COUNTA('Stakeholder Register'!$B:$B)-1,0)</f>
        <v>1</v>
      </c>
      <c r="J13" s="119"/>
      <c r="K13" s="134">
        <f>MAX(COUNTA('Resource Management Plan'!$B:$B)-1,0)</f>
        <v>14</v>
      </c>
      <c r="L13" s="119"/>
    </row>
    <row r="14" spans="1:12" ht="28.15" customHeight="1" x14ac:dyDescent="0.25">
      <c r="A14" s="133"/>
      <c r="B14" s="121"/>
      <c r="C14" s="120"/>
      <c r="D14" s="121"/>
      <c r="E14" s="133"/>
      <c r="F14" s="121"/>
      <c r="G14" s="120"/>
      <c r="H14" s="121"/>
      <c r="I14" s="133"/>
      <c r="J14" s="121"/>
      <c r="K14" s="120"/>
      <c r="L14" s="121"/>
    </row>
    <row r="15" spans="1:12" ht="28.15" customHeight="1" x14ac:dyDescent="0.25">
      <c r="A15" s="148" t="s">
        <v>19</v>
      </c>
      <c r="B15" s="124"/>
      <c r="C15" s="149" t="s">
        <v>20</v>
      </c>
      <c r="D15" s="124"/>
      <c r="E15" s="148" t="s">
        <v>21</v>
      </c>
      <c r="F15" s="124"/>
      <c r="G15" s="149" t="s">
        <v>22</v>
      </c>
      <c r="H15" s="124"/>
      <c r="I15" s="148" t="s">
        <v>23</v>
      </c>
      <c r="J15" s="124"/>
      <c r="K15" s="149" t="s">
        <v>24</v>
      </c>
      <c r="L15" s="124"/>
    </row>
    <row r="16" spans="1:12" ht="28.15" customHeight="1" x14ac:dyDescent="0.25">
      <c r="A16" s="132">
        <f>COUNTIF('Project Plan'!$N:$N,"In Progress")</f>
        <v>1</v>
      </c>
      <c r="B16" s="119"/>
      <c r="C16" s="134">
        <f>COUNTIF('Project Plan'!$P:$P,"☑")+COUNTIF('Project Plan'!$P:$P,TRUE)+COUNTIF('Project Plan'!$P:$P,1)+COUNTIF('Project Plan'!$P:$P,"Y")+COUNTIF('Project Plan'!$P:$P,"Yes")+COUNTIF('Project Plan'!$P:$P,"✔")+COUNTIF('Project Plan'!$P:$P,"☒")+COUNTIF('Project Plan'!$P:$P,"X")</f>
        <v>23</v>
      </c>
      <c r="D16" s="119"/>
      <c r="E16" s="132">
        <f>COUNTIFS('RAID Log'!$B:$B,"Dependency",'RAID Log'!$N:$N,"&lt;&gt;Closed")</f>
        <v>17</v>
      </c>
      <c r="F16" s="119"/>
      <c r="G16" s="134">
        <f>MAX(COUNTIF('Change Management Plan'!$D:$D,"&lt;&gt;")-1,0)</f>
        <v>0</v>
      </c>
      <c r="H16" s="119"/>
      <c r="I16" s="132">
        <f>MAX(COUNTA('Governance &amp; Cadences'!$B:$B)-1,0)</f>
        <v>3</v>
      </c>
      <c r="J16" s="119"/>
      <c r="K16" s="156"/>
      <c r="L16" s="119"/>
    </row>
    <row r="17" spans="1:12" ht="28.15" customHeight="1" x14ac:dyDescent="0.25">
      <c r="A17" s="133"/>
      <c r="B17" s="121"/>
      <c r="C17" s="120"/>
      <c r="D17" s="121"/>
      <c r="E17" s="133"/>
      <c r="F17" s="121"/>
      <c r="G17" s="120"/>
      <c r="H17" s="121"/>
      <c r="I17" s="133"/>
      <c r="J17" s="121"/>
      <c r="K17" s="120"/>
      <c r="L17" s="121"/>
    </row>
    <row r="18" spans="1:12" x14ac:dyDescent="0.25">
      <c r="A18" s="149" t="s">
        <v>25</v>
      </c>
      <c r="B18" s="124"/>
      <c r="C18" s="149" t="s">
        <v>26</v>
      </c>
      <c r="D18" s="124"/>
      <c r="E18" s="149" t="s">
        <v>27</v>
      </c>
      <c r="F18" s="124"/>
      <c r="G18" s="149" t="s">
        <v>28</v>
      </c>
      <c r="H18" s="124"/>
      <c r="I18" s="149" t="s">
        <v>29</v>
      </c>
      <c r="J18" s="124"/>
      <c r="K18" s="149" t="s">
        <v>30</v>
      </c>
      <c r="L18" s="124"/>
    </row>
    <row r="19" spans="1:12" ht="22.15" customHeight="1" x14ac:dyDescent="0.25">
      <c r="A19" s="135" t="s">
        <v>31</v>
      </c>
      <c r="B19" s="136"/>
      <c r="C19" s="136"/>
      <c r="D19" s="136"/>
      <c r="E19" s="136"/>
      <c r="F19" s="136"/>
      <c r="G19" s="136"/>
      <c r="H19" s="136"/>
      <c r="I19" s="136"/>
      <c r="J19" s="136"/>
      <c r="K19" s="136"/>
      <c r="L19" s="137"/>
    </row>
    <row r="20" spans="1:12" ht="18" customHeight="1" x14ac:dyDescent="0.25">
      <c r="A20" s="150" t="s">
        <v>32</v>
      </c>
      <c r="B20" s="123"/>
      <c r="C20" s="123"/>
      <c r="D20" s="123"/>
      <c r="E20" s="123"/>
      <c r="F20" s="123"/>
      <c r="G20" s="123"/>
      <c r="H20" s="124"/>
      <c r="I20" s="118" t="s">
        <v>33</v>
      </c>
      <c r="J20" s="119"/>
      <c r="K20" s="118" t="s">
        <v>34</v>
      </c>
      <c r="L20" s="119"/>
    </row>
    <row r="21" spans="1:12" ht="24" customHeight="1" x14ac:dyDescent="0.25">
      <c r="A21" s="150" t="s">
        <v>35</v>
      </c>
      <c r="B21" s="123"/>
      <c r="C21" s="123"/>
      <c r="D21" s="123"/>
      <c r="E21" s="123"/>
      <c r="F21" s="123"/>
      <c r="G21" s="123"/>
      <c r="H21" s="124"/>
      <c r="I21" s="120"/>
      <c r="J21" s="121"/>
      <c r="K21" s="120"/>
      <c r="L21" s="121"/>
    </row>
    <row r="22" spans="1:12" ht="24" customHeight="1" x14ac:dyDescent="0.25">
      <c r="A22" s="48"/>
      <c r="B22" s="49"/>
      <c r="C22" s="49"/>
      <c r="D22" s="49"/>
      <c r="E22" s="49"/>
      <c r="F22" s="49"/>
      <c r="G22" s="49"/>
      <c r="H22" s="49"/>
      <c r="I22" s="118" t="s">
        <v>36</v>
      </c>
      <c r="J22" s="119"/>
      <c r="K22" s="118" t="s">
        <v>37</v>
      </c>
      <c r="L22" s="119"/>
    </row>
    <row r="23" spans="1:12" ht="24" customHeight="1" x14ac:dyDescent="0.25">
      <c r="A23" s="151" t="s">
        <v>38</v>
      </c>
      <c r="B23" s="152"/>
      <c r="C23" s="152"/>
      <c r="D23" s="152"/>
      <c r="E23" s="152"/>
      <c r="F23" s="152"/>
      <c r="G23" s="152"/>
      <c r="H23" s="119"/>
      <c r="I23" s="120"/>
      <c r="J23" s="121"/>
      <c r="K23" s="120"/>
      <c r="L23" s="121"/>
    </row>
    <row r="24" spans="1:12" ht="24" customHeight="1" x14ac:dyDescent="0.25">
      <c r="A24" s="153"/>
      <c r="B24" s="154"/>
      <c r="C24" s="154"/>
      <c r="D24" s="154"/>
      <c r="E24" s="154"/>
      <c r="F24" s="154"/>
      <c r="G24" s="154"/>
      <c r="H24" s="155"/>
      <c r="I24" s="118" t="s">
        <v>39</v>
      </c>
      <c r="J24" s="119"/>
      <c r="K24" s="118" t="s">
        <v>40</v>
      </c>
      <c r="L24" s="119"/>
    </row>
    <row r="25" spans="1:12" ht="18" customHeight="1" x14ac:dyDescent="0.25">
      <c r="A25" s="133"/>
      <c r="B25" s="144"/>
      <c r="C25" s="144"/>
      <c r="D25" s="144"/>
      <c r="E25" s="144"/>
      <c r="F25" s="144"/>
      <c r="G25" s="144"/>
      <c r="H25" s="121"/>
      <c r="I25" s="120"/>
      <c r="J25" s="121"/>
      <c r="K25" s="120"/>
      <c r="L25" s="121"/>
    </row>
  </sheetData>
  <mergeCells count="64">
    <mergeCell ref="J3:K3"/>
    <mergeCell ref="A21:H21"/>
    <mergeCell ref="E15:F15"/>
    <mergeCell ref="A19:L19"/>
    <mergeCell ref="G15:H15"/>
    <mergeCell ref="A4:L4"/>
    <mergeCell ref="I7:L7"/>
    <mergeCell ref="C10:F10"/>
    <mergeCell ref="A8:B8"/>
    <mergeCell ref="E13:F14"/>
    <mergeCell ref="G13:H14"/>
    <mergeCell ref="C9:F9"/>
    <mergeCell ref="A12:D12"/>
    <mergeCell ref="A11:L11"/>
    <mergeCell ref="I12:L12"/>
    <mergeCell ref="A10:B10"/>
    <mergeCell ref="K24:L25"/>
    <mergeCell ref="K20:L21"/>
    <mergeCell ref="A16:B17"/>
    <mergeCell ref="C16:D17"/>
    <mergeCell ref="I16:J17"/>
    <mergeCell ref="A20:H20"/>
    <mergeCell ref="A23:H25"/>
    <mergeCell ref="C18:D18"/>
    <mergeCell ref="I22:J23"/>
    <mergeCell ref="E18:F18"/>
    <mergeCell ref="K18:L18"/>
    <mergeCell ref="K22:L23"/>
    <mergeCell ref="A18:B18"/>
    <mergeCell ref="G18:H18"/>
    <mergeCell ref="I18:J18"/>
    <mergeCell ref="K16:L17"/>
    <mergeCell ref="A5:F5"/>
    <mergeCell ref="G16:H17"/>
    <mergeCell ref="E12:H12"/>
    <mergeCell ref="A1:L2"/>
    <mergeCell ref="C6:F6"/>
    <mergeCell ref="I6:L6"/>
    <mergeCell ref="G10:H10"/>
    <mergeCell ref="G6:H6"/>
    <mergeCell ref="C13:D14"/>
    <mergeCell ref="A9:B9"/>
    <mergeCell ref="A15:B15"/>
    <mergeCell ref="C8:F8"/>
    <mergeCell ref="I8:L8"/>
    <mergeCell ref="I15:J15"/>
    <mergeCell ref="C15:D15"/>
    <mergeCell ref="K15:L15"/>
    <mergeCell ref="I24:J25"/>
    <mergeCell ref="C7:F7"/>
    <mergeCell ref="A3:I3"/>
    <mergeCell ref="I10:L10"/>
    <mergeCell ref="G8:H8"/>
    <mergeCell ref="A6:B6"/>
    <mergeCell ref="I13:J14"/>
    <mergeCell ref="A13:B14"/>
    <mergeCell ref="K13:L14"/>
    <mergeCell ref="G9:H9"/>
    <mergeCell ref="G5:L5"/>
    <mergeCell ref="A7:B7"/>
    <mergeCell ref="G7:H7"/>
    <mergeCell ref="I9:L9"/>
    <mergeCell ref="E16:F17"/>
    <mergeCell ref="I20:J21"/>
  </mergeCells>
  <conditionalFormatting sqref="L3">
    <cfRule type="cellIs" dxfId="39" priority="1" operator="equal">
      <formula>"GREEN"</formula>
    </cfRule>
    <cfRule type="cellIs" dxfId="38" priority="2" operator="equal">
      <formula>"AMBER"</formula>
    </cfRule>
    <cfRule type="cellIs" dxfId="37" priority="3" operator="equal">
      <formula>"RED"</formula>
    </cfRule>
  </conditionalFormatting>
  <dataValidations count="1">
    <dataValidation type="list" allowBlank="1" showInputMessage="1" showErrorMessage="1" sqref="L3" xr:uid="{E68F7176-9D62-49E7-BEFB-730B38C03575}">
      <formula1>"RED,AMBER,GREEN"</formula1>
    </dataValidation>
  </dataValidations>
  <hyperlinks>
    <hyperlink ref="I20" location="'Project Charter'!A1" display="Go to Project Charter" xr:uid="{00000000-0004-0000-0000-000000000000}"/>
    <hyperlink ref="K20" location="'Project Plan'!A1" display="Go to Project Plan" xr:uid="{00000000-0004-0000-0000-000001000000}"/>
    <hyperlink ref="I22" location="'RAID Dashboard'!A1" display="Go to RAID Dashboard" xr:uid="{00000000-0004-0000-0000-000002000000}"/>
    <hyperlink ref="K22" location="'Risk Register'!A1" display="Go to Risk Register" xr:uid="{00000000-0004-0000-0000-000003000000}"/>
    <hyperlink ref="I24" location="'Stakeholder Register'!A1" display="Go to Stakeholders" xr:uid="{00000000-0004-0000-0000-000004000000}"/>
    <hyperlink ref="K24" location="'Milestone Tracker'!A1" display="Go to Milestones" xr:uid="{00000000-0004-0000-0000-000005000000}"/>
  </hyperlinks>
  <pageMargins left="0.25" right="0.25" top="0.4" bottom="0.35"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L26"/>
  <sheetViews>
    <sheetView zoomScaleNormal="100" zoomScalePageLayoutView="60" workbookViewId="0">
      <selection sqref="A1:L1"/>
    </sheetView>
  </sheetViews>
  <sheetFormatPr defaultColWidth="8.7265625" defaultRowHeight="12.75" customHeight="1" x14ac:dyDescent="0.25"/>
  <cols>
    <col min="1" max="1" width="22.26953125" customWidth="1"/>
    <col min="3" max="3" width="13" customWidth="1"/>
    <col min="4" max="4" width="29.81640625" customWidth="1"/>
    <col min="5" max="5" width="18.81640625" customWidth="1"/>
    <col min="8" max="8" width="32.453125" customWidth="1"/>
    <col min="9" max="9" width="18.453125" customWidth="1"/>
    <col min="11" max="11" width="16.7265625" customWidth="1"/>
    <col min="12" max="12" width="14.26953125" customWidth="1"/>
  </cols>
  <sheetData>
    <row r="1" spans="1:12" ht="30.75" customHeight="1" x14ac:dyDescent="0.25">
      <c r="A1" s="203" t="str">
        <f>'Project Cover Sheet'!C6</f>
        <v>Smartsync application</v>
      </c>
      <c r="B1" s="204"/>
      <c r="C1" s="204"/>
      <c r="D1" s="204"/>
      <c r="E1" s="204"/>
      <c r="F1" s="204"/>
      <c r="G1" s="204"/>
      <c r="H1" s="204"/>
      <c r="I1" s="204"/>
      <c r="J1" s="204"/>
      <c r="K1" s="204"/>
      <c r="L1" s="205"/>
    </row>
    <row r="2" spans="1:12" ht="14.25" customHeight="1" x14ac:dyDescent="0.25">
      <c r="A2" s="4" t="s">
        <v>41</v>
      </c>
      <c r="B2" s="171" t="str">
        <f>'Project Cover Sheet'!C6</f>
        <v>Smartsync application</v>
      </c>
      <c r="C2" s="172"/>
      <c r="D2" s="167"/>
      <c r="E2" s="5" t="s">
        <v>42</v>
      </c>
      <c r="F2" s="171" t="str">
        <f>'Project Cover Sheet'!C8</f>
        <v>Suseela Nookala</v>
      </c>
      <c r="G2" s="172"/>
      <c r="H2" s="167"/>
      <c r="I2" s="5" t="s">
        <v>43</v>
      </c>
      <c r="J2" s="171" t="str">
        <f>'Project Cover Sheet'!C9</f>
        <v>Ibrahim Houari</v>
      </c>
      <c r="K2" s="172"/>
      <c r="L2" s="167"/>
    </row>
    <row r="3" spans="1:12" ht="14.25" customHeight="1" x14ac:dyDescent="0.25">
      <c r="A3" s="4" t="s">
        <v>44</v>
      </c>
      <c r="B3" s="179">
        <f>'Project Cover Sheet'!I6</f>
        <v>45839</v>
      </c>
      <c r="C3" s="180"/>
      <c r="D3" s="181"/>
      <c r="E3" s="5" t="s">
        <v>45</v>
      </c>
      <c r="F3" s="171">
        <f>'Project Cover Sheet'!I8</f>
        <v>303</v>
      </c>
      <c r="G3" s="172"/>
      <c r="H3" s="167"/>
      <c r="I3" s="5" t="s">
        <v>46</v>
      </c>
      <c r="J3" s="179">
        <f>'Project Cover Sheet'!I7</f>
        <v>46142</v>
      </c>
      <c r="K3" s="180"/>
      <c r="L3" s="181"/>
    </row>
    <row r="4" spans="1:12" ht="14.25" customHeight="1" x14ac:dyDescent="0.25">
      <c r="A4" s="4" t="s">
        <v>47</v>
      </c>
      <c r="B4" s="182">
        <f>'Project Cover Sheet'!I9</f>
        <v>60000</v>
      </c>
      <c r="C4" s="183"/>
      <c r="D4" s="184"/>
      <c r="E4" s="5" t="s">
        <v>48</v>
      </c>
      <c r="F4" s="171" t="str">
        <f>'Project Cover Sheet'!I10</f>
        <v>To build end to end integrations with PMS systems</v>
      </c>
      <c r="G4" s="172"/>
      <c r="H4" s="167"/>
      <c r="I4" s="5" t="s">
        <v>49</v>
      </c>
      <c r="J4" s="173" t="str">
        <f>'Project Cover Sheet'!C10</f>
        <v>High</v>
      </c>
      <c r="K4" s="172"/>
      <c r="L4" s="167"/>
    </row>
    <row r="5" spans="1:12" ht="14.9" customHeight="1" x14ac:dyDescent="0.25">
      <c r="A5" s="186" t="s">
        <v>50</v>
      </c>
      <c r="B5" s="187"/>
      <c r="C5" s="187"/>
      <c r="D5" s="187"/>
      <c r="E5" s="187"/>
      <c r="F5" s="188"/>
      <c r="G5" s="178" t="s">
        <v>51</v>
      </c>
      <c r="H5" s="172"/>
      <c r="I5" s="172"/>
      <c r="J5" s="172"/>
      <c r="K5" s="172"/>
      <c r="L5" s="167"/>
    </row>
    <row r="6" spans="1:12" ht="12.75" customHeight="1" x14ac:dyDescent="0.25">
      <c r="A6" s="200" t="s">
        <v>345</v>
      </c>
      <c r="B6" s="154"/>
      <c r="C6" s="154"/>
      <c r="D6" s="154"/>
      <c r="E6" s="154"/>
      <c r="F6" s="175"/>
      <c r="G6" s="195" t="s">
        <v>346</v>
      </c>
      <c r="H6" s="190"/>
      <c r="I6" s="190"/>
      <c r="J6" s="190"/>
      <c r="K6" s="190"/>
      <c r="L6" s="191"/>
    </row>
    <row r="7" spans="1:12" ht="12.75" customHeight="1" x14ac:dyDescent="0.25">
      <c r="A7" s="201"/>
      <c r="B7" s="154"/>
      <c r="C7" s="154"/>
      <c r="D7" s="154"/>
      <c r="E7" s="154"/>
      <c r="F7" s="175"/>
      <c r="G7" s="196"/>
      <c r="H7" s="154"/>
      <c r="I7" s="154"/>
      <c r="J7" s="154"/>
      <c r="K7" s="154"/>
      <c r="L7" s="175"/>
    </row>
    <row r="8" spans="1:12" ht="12.75" customHeight="1" x14ac:dyDescent="0.25">
      <c r="A8" s="201"/>
      <c r="B8" s="154"/>
      <c r="C8" s="154"/>
      <c r="D8" s="154"/>
      <c r="E8" s="154"/>
      <c r="F8" s="175"/>
      <c r="G8" s="196"/>
      <c r="H8" s="154"/>
      <c r="I8" s="154"/>
      <c r="J8" s="154"/>
      <c r="K8" s="154"/>
      <c r="L8" s="175"/>
    </row>
    <row r="9" spans="1:12" ht="32.5" customHeight="1" x14ac:dyDescent="0.25">
      <c r="A9" s="202"/>
      <c r="B9" s="187"/>
      <c r="C9" s="187"/>
      <c r="D9" s="187"/>
      <c r="E9" s="187"/>
      <c r="F9" s="188"/>
      <c r="G9" s="197"/>
      <c r="H9" s="187"/>
      <c r="I9" s="187"/>
      <c r="J9" s="187"/>
      <c r="K9" s="187"/>
      <c r="L9" s="188"/>
    </row>
    <row r="10" spans="1:12" ht="13.5" customHeight="1" x14ac:dyDescent="0.25">
      <c r="A10" s="6"/>
      <c r="L10" s="7"/>
    </row>
    <row r="11" spans="1:12" ht="14.9" customHeight="1" x14ac:dyDescent="0.25">
      <c r="A11" s="192" t="s">
        <v>52</v>
      </c>
      <c r="B11" s="193"/>
      <c r="C11" s="193"/>
      <c r="D11" s="193"/>
      <c r="E11" s="193"/>
      <c r="F11" s="194"/>
      <c r="G11" s="192" t="s">
        <v>53</v>
      </c>
      <c r="H11" s="193"/>
      <c r="I11" s="193"/>
      <c r="J11" s="193"/>
      <c r="K11" s="193"/>
      <c r="L11" s="194"/>
    </row>
    <row r="12" spans="1:12" ht="15.75" customHeight="1" x14ac:dyDescent="0.25">
      <c r="A12" s="174" t="s">
        <v>54</v>
      </c>
      <c r="B12" s="154"/>
      <c r="C12" s="175"/>
      <c r="D12" s="189" t="s">
        <v>55</v>
      </c>
      <c r="E12" s="190"/>
      <c r="F12" s="191"/>
      <c r="G12" s="9" t="s">
        <v>56</v>
      </c>
      <c r="H12" s="189" t="s">
        <v>57</v>
      </c>
      <c r="I12" s="190"/>
      <c r="J12" s="191"/>
      <c r="K12" s="8" t="s">
        <v>58</v>
      </c>
      <c r="L12" s="10" t="s">
        <v>59</v>
      </c>
    </row>
    <row r="13" spans="1:12" ht="28.15" customHeight="1" x14ac:dyDescent="0.25">
      <c r="A13" s="185" t="s">
        <v>351</v>
      </c>
      <c r="B13" s="164"/>
      <c r="C13" s="165"/>
      <c r="D13" s="168" t="s">
        <v>348</v>
      </c>
      <c r="E13" s="164"/>
      <c r="F13" s="165"/>
      <c r="G13" s="11"/>
      <c r="H13" s="176" t="s">
        <v>60</v>
      </c>
      <c r="I13" s="177"/>
      <c r="J13" s="166"/>
      <c r="K13" s="66">
        <v>45809</v>
      </c>
      <c r="L13" s="66">
        <v>45809</v>
      </c>
    </row>
    <row r="14" spans="1:12" ht="25.9" customHeight="1" x14ac:dyDescent="0.25">
      <c r="A14" s="185" t="s">
        <v>350</v>
      </c>
      <c r="B14" s="164"/>
      <c r="C14" s="165"/>
      <c r="D14" s="168" t="s">
        <v>347</v>
      </c>
      <c r="E14" s="164"/>
      <c r="F14" s="165"/>
      <c r="G14" s="11"/>
      <c r="H14" s="176" t="s">
        <v>352</v>
      </c>
      <c r="I14" s="177"/>
      <c r="J14" s="166"/>
      <c r="K14" s="66">
        <v>45810</v>
      </c>
      <c r="L14" s="67">
        <v>45818</v>
      </c>
    </row>
    <row r="15" spans="1:12" ht="25.15" customHeight="1" x14ac:dyDescent="0.25">
      <c r="A15" s="185"/>
      <c r="B15" s="164"/>
      <c r="C15" s="165"/>
      <c r="D15" s="168" t="s">
        <v>349</v>
      </c>
      <c r="E15" s="164"/>
      <c r="F15" s="165"/>
      <c r="G15" s="11"/>
      <c r="H15" s="176" t="s">
        <v>353</v>
      </c>
      <c r="I15" s="177"/>
      <c r="J15" s="166"/>
      <c r="K15" s="66">
        <v>45819</v>
      </c>
      <c r="L15" s="67">
        <v>45902</v>
      </c>
    </row>
    <row r="16" spans="1:12" ht="25.15" customHeight="1" x14ac:dyDescent="0.25">
      <c r="A16" s="185"/>
      <c r="B16" s="164"/>
      <c r="C16" s="165"/>
      <c r="D16" s="168"/>
      <c r="E16" s="164"/>
      <c r="F16" s="165"/>
      <c r="G16" s="11"/>
      <c r="H16" s="176" t="s">
        <v>354</v>
      </c>
      <c r="I16" s="177"/>
      <c r="J16" s="166"/>
      <c r="K16" s="66">
        <v>45903</v>
      </c>
      <c r="L16" s="67">
        <v>45912</v>
      </c>
    </row>
    <row r="17" spans="1:12" ht="12.5" x14ac:dyDescent="0.25">
      <c r="A17" s="163"/>
      <c r="B17" s="164"/>
      <c r="C17" s="165"/>
      <c r="D17" s="168"/>
      <c r="E17" s="164"/>
      <c r="F17" s="165"/>
      <c r="G17" s="11"/>
      <c r="H17" s="176" t="s">
        <v>355</v>
      </c>
      <c r="I17" s="177"/>
      <c r="J17" s="166"/>
      <c r="K17" s="66">
        <v>45915</v>
      </c>
      <c r="L17" s="67">
        <v>45915</v>
      </c>
    </row>
    <row r="18" spans="1:12" ht="12.5" x14ac:dyDescent="0.25">
      <c r="A18" s="163"/>
      <c r="B18" s="164"/>
      <c r="C18" s="165"/>
      <c r="D18" s="168"/>
      <c r="E18" s="164"/>
      <c r="F18" s="165"/>
      <c r="G18" s="11"/>
      <c r="H18" s="176" t="s">
        <v>356</v>
      </c>
      <c r="I18" s="177"/>
      <c r="J18" s="166"/>
      <c r="K18" s="66">
        <v>45916</v>
      </c>
      <c r="L18" s="67">
        <v>45777</v>
      </c>
    </row>
    <row r="19" spans="1:12" ht="13" thickBot="1" x14ac:dyDescent="0.3">
      <c r="A19" s="209"/>
      <c r="B19" s="198"/>
      <c r="C19" s="199"/>
      <c r="D19" s="161"/>
      <c r="E19" s="198"/>
      <c r="F19" s="199"/>
      <c r="G19" s="11"/>
      <c r="H19" s="168"/>
      <c r="I19" s="172"/>
      <c r="J19" s="167"/>
      <c r="K19" s="66"/>
      <c r="L19" s="67"/>
    </row>
    <row r="20" spans="1:12" ht="12.5" x14ac:dyDescent="0.25">
      <c r="A20" s="192" t="s">
        <v>61</v>
      </c>
      <c r="B20" s="193"/>
      <c r="C20" s="193"/>
      <c r="D20" s="193"/>
      <c r="E20" s="193"/>
      <c r="F20" s="194"/>
      <c r="G20" s="11"/>
      <c r="H20" s="168"/>
      <c r="I20" s="172"/>
      <c r="J20" s="167"/>
      <c r="K20" s="66"/>
      <c r="L20" s="67"/>
    </row>
    <row r="21" spans="1:12" ht="14.5" x14ac:dyDescent="0.25">
      <c r="A21" s="12" t="s">
        <v>56</v>
      </c>
      <c r="B21" s="169" t="s">
        <v>62</v>
      </c>
      <c r="C21" s="167"/>
      <c r="D21" s="5" t="s">
        <v>63</v>
      </c>
      <c r="E21" s="178" t="s">
        <v>64</v>
      </c>
      <c r="F21" s="167"/>
      <c r="G21" s="11"/>
      <c r="H21" s="168"/>
      <c r="I21" s="172"/>
      <c r="J21" s="167"/>
      <c r="K21" s="66"/>
      <c r="L21" s="67"/>
    </row>
    <row r="22" spans="1:12" ht="14.5" x14ac:dyDescent="0.25">
      <c r="A22" s="11"/>
      <c r="B22" s="166"/>
      <c r="C22" s="167"/>
      <c r="D22" s="13" t="s">
        <v>65</v>
      </c>
      <c r="E22" s="168"/>
      <c r="F22" s="167"/>
      <c r="G22" s="11"/>
      <c r="H22" s="168"/>
      <c r="I22" s="172"/>
      <c r="J22" s="167"/>
      <c r="K22" s="66"/>
      <c r="L22" s="67"/>
    </row>
    <row r="23" spans="1:12" ht="14.5" x14ac:dyDescent="0.25">
      <c r="A23" s="11"/>
      <c r="B23" s="166"/>
      <c r="C23" s="167"/>
      <c r="D23" s="14" t="s">
        <v>66</v>
      </c>
      <c r="E23" s="168"/>
      <c r="F23" s="167"/>
      <c r="G23" s="11"/>
      <c r="H23" s="168"/>
      <c r="I23" s="172"/>
      <c r="J23" s="167"/>
      <c r="K23" s="66"/>
      <c r="L23" s="67"/>
    </row>
    <row r="24" spans="1:12" ht="14.5" x14ac:dyDescent="0.25">
      <c r="A24" s="15"/>
      <c r="B24" s="170"/>
      <c r="C24" s="162"/>
      <c r="D24" s="16" t="s">
        <v>67</v>
      </c>
      <c r="E24" s="161"/>
      <c r="F24" s="162"/>
      <c r="G24" s="15"/>
      <c r="H24" s="161"/>
      <c r="I24" s="210"/>
      <c r="J24" s="162"/>
      <c r="K24" s="68"/>
      <c r="L24" s="69"/>
    </row>
    <row r="25" spans="1:12" ht="12.75" customHeight="1" x14ac:dyDescent="0.25">
      <c r="A25" s="6"/>
      <c r="L25" s="7"/>
    </row>
    <row r="26" spans="1:12" ht="13.5" customHeight="1" x14ac:dyDescent="0.25">
      <c r="A26" s="208" t="s">
        <v>68</v>
      </c>
      <c r="B26" s="207"/>
      <c r="C26" s="206"/>
      <c r="D26" s="207"/>
      <c r="E26" s="207"/>
      <c r="F26" s="207"/>
      <c r="G26" s="207"/>
      <c r="H26" s="207"/>
      <c r="I26" s="211"/>
      <c r="J26" s="207"/>
      <c r="K26" s="207"/>
      <c r="L26" s="212"/>
    </row>
  </sheetData>
  <mergeCells count="57">
    <mergeCell ref="A1:L1"/>
    <mergeCell ref="E22:F22"/>
    <mergeCell ref="C26:H26"/>
    <mergeCell ref="F3:H3"/>
    <mergeCell ref="A16:C16"/>
    <mergeCell ref="E21:F21"/>
    <mergeCell ref="A26:B26"/>
    <mergeCell ref="J2:L2"/>
    <mergeCell ref="A13:C13"/>
    <mergeCell ref="D14:F14"/>
    <mergeCell ref="H18:J18"/>
    <mergeCell ref="A19:C19"/>
    <mergeCell ref="H14:J14"/>
    <mergeCell ref="H24:J24"/>
    <mergeCell ref="I26:L26"/>
    <mergeCell ref="H23:J23"/>
    <mergeCell ref="H21:J21"/>
    <mergeCell ref="A15:C15"/>
    <mergeCell ref="A6:F9"/>
    <mergeCell ref="H20:J20"/>
    <mergeCell ref="H17:J17"/>
    <mergeCell ref="H22:J22"/>
    <mergeCell ref="H13:J13"/>
    <mergeCell ref="A14:C14"/>
    <mergeCell ref="H19:J19"/>
    <mergeCell ref="A5:F5"/>
    <mergeCell ref="D18:F18"/>
    <mergeCell ref="D12:F12"/>
    <mergeCell ref="A17:C17"/>
    <mergeCell ref="H12:J12"/>
    <mergeCell ref="A20:F20"/>
    <mergeCell ref="D15:F15"/>
    <mergeCell ref="H15:J15"/>
    <mergeCell ref="A11:F11"/>
    <mergeCell ref="G11:L11"/>
    <mergeCell ref="G6:L9"/>
    <mergeCell ref="D19:F19"/>
    <mergeCell ref="F2:H2"/>
    <mergeCell ref="J4:L4"/>
    <mergeCell ref="A12:C12"/>
    <mergeCell ref="D16:F16"/>
    <mergeCell ref="H16:J16"/>
    <mergeCell ref="G5:L5"/>
    <mergeCell ref="B2:D2"/>
    <mergeCell ref="J3:L3"/>
    <mergeCell ref="B3:D3"/>
    <mergeCell ref="D13:F13"/>
    <mergeCell ref="B4:D4"/>
    <mergeCell ref="F4:H4"/>
    <mergeCell ref="E24:F24"/>
    <mergeCell ref="A18:C18"/>
    <mergeCell ref="B22:C22"/>
    <mergeCell ref="D17:F17"/>
    <mergeCell ref="E23:F23"/>
    <mergeCell ref="B21:C21"/>
    <mergeCell ref="B23:C23"/>
    <mergeCell ref="B24:C24"/>
  </mergeCells>
  <conditionalFormatting sqref="D22:D24">
    <cfRule type="expression" dxfId="36" priority="2">
      <formula>D22="High"</formula>
    </cfRule>
    <cfRule type="expression" dxfId="35" priority="3">
      <formula>D22="Moderate"</formula>
    </cfRule>
    <cfRule type="expression" dxfId="34" priority="4">
      <formula>D22="Low"</formula>
    </cfRule>
  </conditionalFormatting>
  <conditionalFormatting sqref="J4:L4">
    <cfRule type="expression" dxfId="33" priority="5">
      <formula>J4="Low"</formula>
    </cfRule>
    <cfRule type="expression" dxfId="32" priority="6">
      <formula>J4="Medium"</formula>
    </cfRule>
    <cfRule type="expression" dxfId="31" priority="7">
      <formula>J4="High"</formula>
    </cfRule>
  </conditionalFormatting>
  <dataValidations count="1">
    <dataValidation type="list" operator="equal" allowBlank="1" showInputMessage="1" showErrorMessage="1" sqref="D22:D24" xr:uid="{00000000-0002-0000-0400-000000000000}">
      <formula1>"HIGH,MEDIUM,LOW"</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201"/>
  <sheetViews>
    <sheetView topLeftCell="M1" zoomScaleNormal="100" zoomScalePageLayoutView="60" workbookViewId="0">
      <selection activeCell="D14" sqref="D14"/>
    </sheetView>
  </sheetViews>
  <sheetFormatPr defaultColWidth="8.7265625" defaultRowHeight="15" customHeight="1" x14ac:dyDescent="0.25"/>
  <cols>
    <col min="1" max="1" width="12" customWidth="1"/>
    <col min="2" max="2" width="7.54296875" customWidth="1"/>
    <col min="3" max="3" width="21.26953125" customWidth="1"/>
    <col min="4" max="4" width="43.81640625" customWidth="1"/>
    <col min="5" max="5" width="16.26953125" customWidth="1"/>
    <col min="6" max="6" width="27.7265625" bestFit="1" customWidth="1"/>
    <col min="7" max="7" width="18" hidden="1" customWidth="1"/>
    <col min="8" max="8" width="26.7265625" hidden="1" customWidth="1"/>
    <col min="9" max="9" width="20.81640625" customWidth="1"/>
    <col min="10" max="10" width="20.1796875" customWidth="1"/>
    <col min="11" max="11" width="17.81640625" customWidth="1"/>
    <col min="12" max="12" width="19.1796875" customWidth="1"/>
    <col min="13" max="13" width="18.26953125" customWidth="1"/>
    <col min="14" max="14" width="14" customWidth="1"/>
    <col min="15" max="15" width="14.7265625" customWidth="1"/>
    <col min="16" max="16" width="27.1796875" customWidth="1"/>
    <col min="17" max="17" width="21.453125" customWidth="1"/>
    <col min="18" max="18" width="20.7265625" customWidth="1"/>
    <col min="19" max="19" width="18.26953125" customWidth="1"/>
    <col min="20" max="20" width="14" customWidth="1"/>
    <col min="21" max="21" width="91.7265625" bestFit="1" customWidth="1"/>
    <col min="22" max="22" width="13" hidden="1" customWidth="1"/>
  </cols>
  <sheetData>
    <row r="1" spans="1:22" ht="13.9" customHeight="1" x14ac:dyDescent="0.3">
      <c r="A1" s="77" t="s">
        <v>69</v>
      </c>
      <c r="B1" s="78" t="s">
        <v>70</v>
      </c>
      <c r="C1" s="78" t="s">
        <v>71</v>
      </c>
      <c r="D1" s="78" t="s">
        <v>72</v>
      </c>
      <c r="E1" s="78" t="s">
        <v>73</v>
      </c>
      <c r="F1" s="78" t="s">
        <v>74</v>
      </c>
      <c r="G1" s="78" t="s">
        <v>75</v>
      </c>
      <c r="H1" s="78" t="s">
        <v>76</v>
      </c>
      <c r="I1" s="78" t="s">
        <v>77</v>
      </c>
      <c r="J1" s="78" t="s">
        <v>78</v>
      </c>
      <c r="K1" s="78" t="s">
        <v>10</v>
      </c>
      <c r="L1" s="78" t="s">
        <v>79</v>
      </c>
      <c r="M1" s="78" t="s">
        <v>80</v>
      </c>
      <c r="N1" s="78" t="s">
        <v>81</v>
      </c>
      <c r="O1" s="78" t="s">
        <v>82</v>
      </c>
      <c r="P1" s="78" t="s">
        <v>83</v>
      </c>
      <c r="Q1" s="78" t="s">
        <v>84</v>
      </c>
      <c r="R1" s="78" t="s">
        <v>85</v>
      </c>
      <c r="S1" s="78" t="s">
        <v>86</v>
      </c>
      <c r="T1" s="78" t="s">
        <v>87</v>
      </c>
      <c r="U1" s="79" t="s">
        <v>88</v>
      </c>
      <c r="V1" t="s">
        <v>89</v>
      </c>
    </row>
    <row r="2" spans="1:22" ht="26.9" customHeight="1" x14ac:dyDescent="0.25">
      <c r="A2" s="93" t="str">
        <f t="shared" ref="A2:A28" si="0">IF(D2="","","T-"&amp;TEXT(ROW()-1,"000"))</f>
        <v>T-001</v>
      </c>
      <c r="B2" s="45">
        <v>1</v>
      </c>
      <c r="C2" s="45" t="s">
        <v>90</v>
      </c>
      <c r="D2" s="45" t="s">
        <v>91</v>
      </c>
      <c r="E2" s="45" t="s">
        <v>92</v>
      </c>
      <c r="F2" s="45"/>
      <c r="G2" s="45" t="s">
        <v>342</v>
      </c>
      <c r="H2" s="45" t="s">
        <v>93</v>
      </c>
      <c r="I2" s="46">
        <v>45663</v>
      </c>
      <c r="J2" s="46">
        <v>45663</v>
      </c>
      <c r="K2" s="38">
        <f t="shared" ref="K2:K24" si="1">IF(OR(I2="",J2=""),"",J2-I2+1)</f>
        <v>1</v>
      </c>
      <c r="L2" s="46">
        <v>45663</v>
      </c>
      <c r="M2" s="46">
        <v>45663</v>
      </c>
      <c r="N2" s="45" t="s">
        <v>20</v>
      </c>
      <c r="O2" s="47">
        <v>1</v>
      </c>
      <c r="P2" s="74" t="b">
        <v>1</v>
      </c>
      <c r="Q2" s="46">
        <v>45663</v>
      </c>
      <c r="R2" s="46">
        <v>45663</v>
      </c>
      <c r="S2" s="38">
        <f t="shared" ref="S2:S54" si="2">IF(A2="","",IF(OR(R2="",J2=""),"",IF(M2&lt;&gt;"",M2-R2,J2-R2)))</f>
        <v>0</v>
      </c>
      <c r="T2" s="38" t="str">
        <f t="shared" ref="T2:T54" ca="1" si="3">IF(A2="","",IF(N2="Completed","Green",IF(AND(J2&lt;&gt;"",TODAY()&gt;J2),"Red",IF(AND(J2&lt;&gt;"",TODAY()+3&gt;=J2),"Amber","Green"))))</f>
        <v>Green</v>
      </c>
      <c r="U2" s="94"/>
      <c r="V2">
        <f>IF(AND(OR($P2="☑",$P2=TRUE,$P2=1,$P2="Y",$P2="Yes",$P2="✔",$P2="☒",$P2="X"),$D2&lt;&gt;""),COUNTIF($P$2:$P2,"☑")+COUNTIF($P$2:$P2,TRUE)+COUNTIF($P$2:$P2,1)+COUNTIF($P$2:$P2,"Y")+COUNTIF($P$2:$P2,"Yes")+COUNTIF($P$2:$P2,"✔")+COUNTIF($P$2:$P2,"☒")+COUNTIF($P$2:$P2,"X"),"")</f>
        <v>1</v>
      </c>
    </row>
    <row r="3" spans="1:22" ht="26.9" customHeight="1" x14ac:dyDescent="0.25">
      <c r="A3" s="93" t="str">
        <f t="shared" si="0"/>
        <v>T-002</v>
      </c>
      <c r="B3" s="45">
        <v>1.1000000000000001</v>
      </c>
      <c r="C3" s="45" t="s">
        <v>90</v>
      </c>
      <c r="D3" s="45" t="s">
        <v>94</v>
      </c>
      <c r="E3" s="45" t="s">
        <v>95</v>
      </c>
      <c r="F3" s="45" t="s">
        <v>96</v>
      </c>
      <c r="G3" s="45" t="s">
        <v>358</v>
      </c>
      <c r="H3" s="45" t="s">
        <v>97</v>
      </c>
      <c r="I3" s="46">
        <v>45663</v>
      </c>
      <c r="J3" s="46">
        <v>45814</v>
      </c>
      <c r="K3" s="38">
        <f t="shared" si="1"/>
        <v>152</v>
      </c>
      <c r="L3" s="46">
        <v>45814</v>
      </c>
      <c r="M3" s="46">
        <v>45814</v>
      </c>
      <c r="N3" s="45" t="s">
        <v>20</v>
      </c>
      <c r="O3" s="47">
        <v>1</v>
      </c>
      <c r="P3" s="74" t="b">
        <v>1</v>
      </c>
      <c r="Q3" s="46">
        <v>45814</v>
      </c>
      <c r="R3" s="46">
        <v>45814</v>
      </c>
      <c r="S3" s="38">
        <f t="shared" si="2"/>
        <v>0</v>
      </c>
      <c r="T3" s="38" t="str">
        <f t="shared" ca="1" si="3"/>
        <v>Green</v>
      </c>
      <c r="U3" s="94"/>
      <c r="V3">
        <f>IF(AND(OR($P3="☑",$P3=TRUE,$P3=1,$P3="Y",$P3="Yes",$P3="✔",$P3="☒",$P3="X"),$D3&lt;&gt;""),COUNTIF($P$2:$P3,"☑")+COUNTIF($P$2:$P3,TRUE)+COUNTIF($P$2:$P3,1)+COUNTIF($P$2:$P3,"Y")+COUNTIF($P$2:$P3,"Yes")+COUNTIF($P$2:$P3,"✔")+COUNTIF($P$2:$P3,"☒")+COUNTIF($P$2:$P3,"X"),"")</f>
        <v>2</v>
      </c>
    </row>
    <row r="4" spans="1:22" ht="26.9" customHeight="1" x14ac:dyDescent="0.25">
      <c r="A4" s="93" t="str">
        <f t="shared" si="0"/>
        <v>T-003</v>
      </c>
      <c r="B4" s="45">
        <v>1.2</v>
      </c>
      <c r="C4" s="45" t="s">
        <v>98</v>
      </c>
      <c r="D4" s="45" t="s">
        <v>98</v>
      </c>
      <c r="E4" s="45" t="s">
        <v>99</v>
      </c>
      <c r="F4" s="45" t="s">
        <v>100</v>
      </c>
      <c r="G4" s="45" t="s">
        <v>342</v>
      </c>
      <c r="H4" s="45" t="s">
        <v>101</v>
      </c>
      <c r="I4" s="46">
        <v>45997</v>
      </c>
      <c r="J4" s="46">
        <v>45786</v>
      </c>
      <c r="K4" s="38">
        <f t="shared" si="1"/>
        <v>-210</v>
      </c>
      <c r="L4" s="46">
        <v>45997</v>
      </c>
      <c r="M4" s="46">
        <v>45786</v>
      </c>
      <c r="N4" s="45" t="s">
        <v>20</v>
      </c>
      <c r="O4" s="47">
        <v>1</v>
      </c>
      <c r="P4" s="74" t="b">
        <v>1</v>
      </c>
      <c r="Q4" s="46">
        <v>45997</v>
      </c>
      <c r="R4" s="46">
        <v>45786</v>
      </c>
      <c r="S4" s="38">
        <f t="shared" si="2"/>
        <v>0</v>
      </c>
      <c r="T4" s="38" t="str">
        <f t="shared" ca="1" si="3"/>
        <v>Green</v>
      </c>
      <c r="U4" s="94"/>
      <c r="V4">
        <f>IF(AND(OR($P4="☑",$P4=TRUE,$P4=1,$P4="Y",$P4="Yes",$P4="✔",$P4="☒",$P4="X"),$D4&lt;&gt;""),COUNTIF($P$2:$P4,"☑")+COUNTIF($P$2:$P4,TRUE)+COUNTIF($P$2:$P4,1)+COUNTIF($P$2:$P4,"Y")+COUNTIF($P$2:$P4,"Yes")+COUNTIF($P$2:$P4,"✔")+COUNTIF($P$2:$P4,"☒")+COUNTIF($P$2:$P4,"X"),"")</f>
        <v>3</v>
      </c>
    </row>
    <row r="5" spans="1:22" ht="26.9" customHeight="1" x14ac:dyDescent="0.25">
      <c r="A5" s="93" t="str">
        <f t="shared" si="0"/>
        <v>T-004</v>
      </c>
      <c r="B5" s="45">
        <v>1.3</v>
      </c>
      <c r="C5" s="45" t="s">
        <v>102</v>
      </c>
      <c r="D5" s="45" t="s">
        <v>103</v>
      </c>
      <c r="E5" s="45" t="s">
        <v>92</v>
      </c>
      <c r="F5" s="45" t="s">
        <v>100</v>
      </c>
      <c r="G5" s="45" t="s">
        <v>342</v>
      </c>
      <c r="H5" s="45" t="s">
        <v>104</v>
      </c>
      <c r="I5" s="46">
        <v>45992</v>
      </c>
      <c r="J5" s="46">
        <v>46183</v>
      </c>
      <c r="K5" s="38">
        <f t="shared" si="1"/>
        <v>192</v>
      </c>
      <c r="L5" s="46">
        <v>45838</v>
      </c>
      <c r="M5" s="46">
        <v>45838</v>
      </c>
      <c r="N5" s="45" t="s">
        <v>20</v>
      </c>
      <c r="O5" s="47">
        <v>1</v>
      </c>
      <c r="P5" s="74" t="b">
        <v>1</v>
      </c>
      <c r="Q5" s="46">
        <v>45838</v>
      </c>
      <c r="R5" s="46">
        <v>45838</v>
      </c>
      <c r="S5" s="38">
        <f t="shared" si="2"/>
        <v>0</v>
      </c>
      <c r="T5" s="38" t="str">
        <f t="shared" ca="1" si="3"/>
        <v>Green</v>
      </c>
      <c r="U5" s="94"/>
      <c r="V5">
        <f>IF(AND(OR($P5="☑",$P5=TRUE,$P5=1,$P5="Y",$P5="Yes",$P5="✔",$P5="☒",$P5="X"),$D5&lt;&gt;""),COUNTIF($P$2:$P5,"☑")+COUNTIF($P$2:$P5,TRUE)+COUNTIF($P$2:$P5,1)+COUNTIF($P$2:$P5,"Y")+COUNTIF($P$2:$P5,"Yes")+COUNTIF($P$2:$P5,"✔")+COUNTIF($P$2:$P5,"☒")+COUNTIF($P$2:$P5,"X"),"")</f>
        <v>4</v>
      </c>
    </row>
    <row r="6" spans="1:22" ht="26.9" customHeight="1" x14ac:dyDescent="0.25">
      <c r="A6" s="93" t="str">
        <f t="shared" si="0"/>
        <v>T-005</v>
      </c>
      <c r="B6" s="45">
        <v>1.4</v>
      </c>
      <c r="C6" s="45" t="s">
        <v>98</v>
      </c>
      <c r="D6" s="45" t="s">
        <v>105</v>
      </c>
      <c r="E6" s="45" t="s">
        <v>106</v>
      </c>
      <c r="F6" s="45" t="s">
        <v>107</v>
      </c>
      <c r="G6" s="45" t="s">
        <v>342</v>
      </c>
      <c r="H6" s="45" t="s">
        <v>93</v>
      </c>
      <c r="I6" s="46">
        <v>45722</v>
      </c>
      <c r="J6" s="46">
        <v>46129</v>
      </c>
      <c r="K6" s="38">
        <f t="shared" si="1"/>
        <v>408</v>
      </c>
      <c r="L6" s="46">
        <v>45838</v>
      </c>
      <c r="M6" s="46">
        <v>45838</v>
      </c>
      <c r="N6" s="45" t="s">
        <v>20</v>
      </c>
      <c r="O6" s="47">
        <v>1</v>
      </c>
      <c r="P6" s="74" t="b">
        <v>1</v>
      </c>
      <c r="Q6" s="46">
        <v>45838</v>
      </c>
      <c r="R6" s="46">
        <v>45838</v>
      </c>
      <c r="S6" s="38">
        <f t="shared" si="2"/>
        <v>0</v>
      </c>
      <c r="T6" s="38" t="str">
        <f t="shared" ca="1" si="3"/>
        <v>Green</v>
      </c>
      <c r="U6" s="94"/>
      <c r="V6">
        <f>IF(AND(OR($P6="☑",$P6=TRUE,$P6=1,$P6="Y",$P6="Yes",$P6="✔",$P6="☒",$P6="X"),$D6&lt;&gt;""),COUNTIF($P$2:$P6,"☑")+COUNTIF($P$2:$P6,TRUE)+COUNTIF($P$2:$P6,1)+COUNTIF($P$2:$P6,"Y")+COUNTIF($P$2:$P6,"Yes")+COUNTIF($P$2:$P6,"✔")+COUNTIF($P$2:$P6,"☒")+COUNTIF($P$2:$P6,"X"),"")</f>
        <v>5</v>
      </c>
    </row>
    <row r="7" spans="1:22" ht="14.15" customHeight="1" x14ac:dyDescent="0.25">
      <c r="A7" s="93" t="str">
        <f t="shared" si="0"/>
        <v>T-006</v>
      </c>
      <c r="B7" s="45">
        <v>1.5</v>
      </c>
      <c r="C7" s="45" t="s">
        <v>98</v>
      </c>
      <c r="D7" s="45" t="s">
        <v>108</v>
      </c>
      <c r="E7" s="45" t="s">
        <v>106</v>
      </c>
      <c r="F7" s="45" t="s">
        <v>109</v>
      </c>
      <c r="G7" s="45" t="s">
        <v>357</v>
      </c>
      <c r="H7" s="45" t="s">
        <v>110</v>
      </c>
      <c r="I7" s="46">
        <v>45753</v>
      </c>
      <c r="J7" s="46">
        <v>45838</v>
      </c>
      <c r="K7" s="38">
        <f t="shared" si="1"/>
        <v>86</v>
      </c>
      <c r="L7" s="46">
        <v>45753</v>
      </c>
      <c r="M7" s="46">
        <v>45838</v>
      </c>
      <c r="N7" s="45" t="s">
        <v>20</v>
      </c>
      <c r="O7" s="47">
        <v>1</v>
      </c>
      <c r="P7" s="74" t="b">
        <v>1</v>
      </c>
      <c r="Q7" s="46">
        <v>45753</v>
      </c>
      <c r="R7" s="46">
        <v>45838</v>
      </c>
      <c r="S7" s="38">
        <f t="shared" si="2"/>
        <v>0</v>
      </c>
      <c r="T7" s="38" t="str">
        <f t="shared" ca="1" si="3"/>
        <v>Green</v>
      </c>
      <c r="U7" s="94"/>
      <c r="V7">
        <f>IF(AND(OR($P7="☑",$P7=TRUE,$P7=1,$P7="Y",$P7="Yes",$P7="✔",$P7="☒",$P7="X"),$D7&lt;&gt;""),COUNTIF($P$2:$P7,"☑")+COUNTIF($P$2:$P7,TRUE)+COUNTIF($P$2:$P7,1)+COUNTIF($P$2:$P7,"Y")+COUNTIF($P$2:$P7,"Yes")+COUNTIF($P$2:$P7,"✔")+COUNTIF($P$2:$P7,"☒")+COUNTIF($P$2:$P7,"X"),"")</f>
        <v>6</v>
      </c>
    </row>
    <row r="8" spans="1:22" ht="14.15" customHeight="1" x14ac:dyDescent="0.25">
      <c r="A8" s="93" t="str">
        <f t="shared" si="0"/>
        <v>T-007</v>
      </c>
      <c r="B8" s="45">
        <v>2</v>
      </c>
      <c r="C8" s="45" t="s">
        <v>112</v>
      </c>
      <c r="D8" s="105" t="s">
        <v>359</v>
      </c>
      <c r="E8" s="45" t="s">
        <v>353</v>
      </c>
      <c r="F8" s="45" t="s">
        <v>114</v>
      </c>
      <c r="G8" s="45" t="s">
        <v>377</v>
      </c>
      <c r="H8" s="45" t="s">
        <v>381</v>
      </c>
      <c r="I8" s="46">
        <v>45819</v>
      </c>
      <c r="J8" s="46">
        <v>45838</v>
      </c>
      <c r="K8" s="38">
        <f t="shared" si="1"/>
        <v>20</v>
      </c>
      <c r="L8" s="46">
        <v>45819</v>
      </c>
      <c r="M8" s="46">
        <v>45838</v>
      </c>
      <c r="N8" s="45" t="s">
        <v>20</v>
      </c>
      <c r="O8" s="47">
        <v>1</v>
      </c>
      <c r="P8" s="74" t="b">
        <v>1</v>
      </c>
      <c r="Q8" s="46">
        <v>45819</v>
      </c>
      <c r="R8" s="46">
        <v>45838</v>
      </c>
      <c r="S8" s="38">
        <f t="shared" si="2"/>
        <v>0</v>
      </c>
      <c r="T8" s="38" t="str">
        <f t="shared" ca="1" si="3"/>
        <v>Green</v>
      </c>
      <c r="U8" s="94"/>
      <c r="V8">
        <f>IF(AND(OR($P8="☑",$P8=TRUE,$P8=1,$P8="Y",$P8="Yes",$P8="✔",$P8="☒",$P8="X"),$D8&lt;&gt;""),COUNTIF($P$2:$P8,"☑")+COUNTIF($P$2:$P8,TRUE)+COUNTIF($P$2:$P8,1)+COUNTIF($P$2:$P8,"Y")+COUNTIF($P$2:$P8,"Yes")+COUNTIF($P$2:$P8,"✔")+COUNTIF($P$2:$P8,"☒")+COUNTIF($P$2:$P8,"X"),"")</f>
        <v>7</v>
      </c>
    </row>
    <row r="9" spans="1:22" ht="14.15" customHeight="1" x14ac:dyDescent="0.25">
      <c r="A9" s="93" t="str">
        <f t="shared" si="0"/>
        <v>T-008</v>
      </c>
      <c r="B9" s="45">
        <v>2.1</v>
      </c>
      <c r="C9" s="45" t="s">
        <v>112</v>
      </c>
      <c r="D9" s="105" t="s">
        <v>360</v>
      </c>
      <c r="E9" s="45" t="s">
        <v>353</v>
      </c>
      <c r="F9" s="45" t="s">
        <v>114</v>
      </c>
      <c r="G9" s="45" t="s">
        <v>377</v>
      </c>
      <c r="H9" s="45" t="s">
        <v>381</v>
      </c>
      <c r="I9" s="46">
        <v>45819</v>
      </c>
      <c r="J9" s="46">
        <v>45838</v>
      </c>
      <c r="K9" s="38">
        <f t="shared" si="1"/>
        <v>20</v>
      </c>
      <c r="L9" s="46">
        <v>45819</v>
      </c>
      <c r="M9" s="46">
        <v>45838</v>
      </c>
      <c r="N9" s="45" t="s">
        <v>20</v>
      </c>
      <c r="O9" s="47">
        <v>1</v>
      </c>
      <c r="P9" s="74" t="b">
        <v>1</v>
      </c>
      <c r="Q9" s="46">
        <v>45819</v>
      </c>
      <c r="R9" s="46">
        <v>45838</v>
      </c>
      <c r="S9" s="38">
        <f t="shared" si="2"/>
        <v>0</v>
      </c>
      <c r="T9" s="38" t="str">
        <f t="shared" ca="1" si="3"/>
        <v>Green</v>
      </c>
      <c r="U9" s="94"/>
      <c r="V9">
        <f>IF(AND(OR($P9="☑",$P9=TRUE,$P9=1,$P9="Y",$P9="Yes",$P9="✔",$P9="☒",$P9="X"),$D9&lt;&gt;""),COUNTIF($P$2:$P9,"☑")+COUNTIF($P$2:$P9,TRUE)+COUNTIF($P$2:$P9,1)+COUNTIF($P$2:$P9,"Y")+COUNTIF($P$2:$P9,"Yes")+COUNTIF($P$2:$P9,"✔")+COUNTIF($P$2:$P9,"☒")+COUNTIF($P$2:$P9,"X"),"")</f>
        <v>8</v>
      </c>
    </row>
    <row r="10" spans="1:22" ht="14.15" customHeight="1" x14ac:dyDescent="0.25">
      <c r="A10" s="93" t="str">
        <f t="shared" si="0"/>
        <v>T-009</v>
      </c>
      <c r="B10" s="45">
        <v>2.1</v>
      </c>
      <c r="C10" s="45" t="s">
        <v>112</v>
      </c>
      <c r="D10" s="105" t="s">
        <v>361</v>
      </c>
      <c r="E10" s="45" t="s">
        <v>353</v>
      </c>
      <c r="F10" s="45" t="s">
        <v>114</v>
      </c>
      <c r="G10" s="45" t="s">
        <v>377</v>
      </c>
      <c r="H10" s="45" t="s">
        <v>381</v>
      </c>
      <c r="I10" s="46">
        <v>45819</v>
      </c>
      <c r="J10" s="46">
        <v>45846</v>
      </c>
      <c r="K10" s="38">
        <f t="shared" si="1"/>
        <v>28</v>
      </c>
      <c r="L10" s="46">
        <v>45819</v>
      </c>
      <c r="M10" s="46">
        <v>45846</v>
      </c>
      <c r="N10" s="45" t="s">
        <v>20</v>
      </c>
      <c r="O10" s="47">
        <v>1</v>
      </c>
      <c r="P10" s="74" t="b">
        <v>1</v>
      </c>
      <c r="Q10" s="46">
        <v>45819</v>
      </c>
      <c r="R10" s="46">
        <v>45846</v>
      </c>
      <c r="S10" s="38">
        <f t="shared" si="2"/>
        <v>0</v>
      </c>
      <c r="T10" s="38" t="str">
        <f t="shared" ca="1" si="3"/>
        <v>Green</v>
      </c>
      <c r="U10" s="94"/>
      <c r="V10">
        <f>IF(AND(OR($P10="☑",$P10=TRUE,$P10=1,$P10="Y",$P10="Yes",$P10="✔",$P10="☒",$P10="X"),$D10&lt;&gt;""),COUNTIF($P$2:$P10,"☑")+COUNTIF($P$2:$P10,TRUE)+COUNTIF($P$2:$P10,1)+COUNTIF($P$2:$P10,"Y")+COUNTIF($P$2:$P10,"Yes")+COUNTIF($P$2:$P10,"✔")+COUNTIF($P$2:$P10,"☒")+COUNTIF($P$2:$P10,"X"),"")</f>
        <v>9</v>
      </c>
    </row>
    <row r="11" spans="1:22" ht="14.15" customHeight="1" x14ac:dyDescent="0.25">
      <c r="A11" s="93" t="str">
        <f t="shared" si="0"/>
        <v>T-010</v>
      </c>
      <c r="B11" s="45">
        <v>2.2999999999999998</v>
      </c>
      <c r="C11" s="45" t="s">
        <v>112</v>
      </c>
      <c r="D11" s="105" t="s">
        <v>362</v>
      </c>
      <c r="E11" s="45" t="s">
        <v>353</v>
      </c>
      <c r="F11" s="45" t="s">
        <v>114</v>
      </c>
      <c r="G11" s="45" t="s">
        <v>377</v>
      </c>
      <c r="H11" s="45" t="s">
        <v>381</v>
      </c>
      <c r="I11" s="46">
        <v>45819</v>
      </c>
      <c r="J11" s="46">
        <v>45888</v>
      </c>
      <c r="K11" s="38">
        <f t="shared" si="1"/>
        <v>70</v>
      </c>
      <c r="L11" s="46">
        <v>45819</v>
      </c>
      <c r="M11" s="46">
        <v>45888</v>
      </c>
      <c r="N11" s="45" t="s">
        <v>20</v>
      </c>
      <c r="O11" s="47">
        <v>1</v>
      </c>
      <c r="P11" s="74" t="b">
        <v>1</v>
      </c>
      <c r="Q11" s="46">
        <v>45819</v>
      </c>
      <c r="R11" s="46">
        <v>45888</v>
      </c>
      <c r="S11" s="38">
        <f t="shared" si="2"/>
        <v>0</v>
      </c>
      <c r="T11" s="38" t="str">
        <f t="shared" ca="1" si="3"/>
        <v>Green</v>
      </c>
      <c r="U11" s="94"/>
      <c r="V11">
        <f>IF(AND(OR($P11="☑",$P11=TRUE,$P11=1,$P11="Y",$P11="Yes",$P11="✔",$P11="☒",$P11="X"),$D11&lt;&gt;""),COUNTIF($P$2:$P11,"☑")+COUNTIF($P$2:$P11,TRUE)+COUNTIF($P$2:$P11,1)+COUNTIF($P$2:$P11,"Y")+COUNTIF($P$2:$P11,"Yes")+COUNTIF($P$2:$P11,"✔")+COUNTIF($P$2:$P11,"☒")+COUNTIF($P$2:$P11,"X"),"")</f>
        <v>10</v>
      </c>
    </row>
    <row r="12" spans="1:22" ht="14.15" customHeight="1" x14ac:dyDescent="0.25">
      <c r="A12" s="93" t="str">
        <f t="shared" si="0"/>
        <v>T-011</v>
      </c>
      <c r="B12" s="45">
        <v>2.4</v>
      </c>
      <c r="C12" s="45" t="s">
        <v>112</v>
      </c>
      <c r="D12" s="45" t="s">
        <v>363</v>
      </c>
      <c r="E12" s="45" t="s">
        <v>353</v>
      </c>
      <c r="F12" s="45" t="s">
        <v>114</v>
      </c>
      <c r="G12" s="45" t="s">
        <v>377</v>
      </c>
      <c r="H12" s="45" t="s">
        <v>381</v>
      </c>
      <c r="I12" s="46">
        <v>45833</v>
      </c>
      <c r="J12" s="46">
        <v>45860</v>
      </c>
      <c r="K12" s="38">
        <f t="shared" si="1"/>
        <v>28</v>
      </c>
      <c r="L12" s="46">
        <v>46027</v>
      </c>
      <c r="M12" s="46">
        <v>46112</v>
      </c>
      <c r="N12" s="45" t="s">
        <v>20</v>
      </c>
      <c r="O12" s="47">
        <v>1</v>
      </c>
      <c r="P12" s="74" t="b">
        <v>1</v>
      </c>
      <c r="Q12" s="46">
        <v>46027</v>
      </c>
      <c r="R12" s="46">
        <v>46112</v>
      </c>
      <c r="S12" s="38">
        <f t="shared" si="2"/>
        <v>0</v>
      </c>
      <c r="T12" s="38" t="str">
        <f t="shared" ca="1" si="3"/>
        <v>Green</v>
      </c>
      <c r="U12" s="94"/>
      <c r="V12">
        <f>IF(AND(OR($P12="☑",$P12=TRUE,$P12=1,$P12="Y",$P12="Yes",$P12="✔",$P12="☒",$P12="X"),$D12&lt;&gt;""),COUNTIF($P$2:$P12,"☑")+COUNTIF($P$2:$P12,TRUE)+COUNTIF($P$2:$P12,1)+COUNTIF($P$2:$P12,"Y")+COUNTIF($P$2:$P12,"Yes")+COUNTIF($P$2:$P12,"✔")+COUNTIF($P$2:$P12,"☒")+COUNTIF($P$2:$P12,"X"),"")</f>
        <v>11</v>
      </c>
    </row>
    <row r="13" spans="1:22" ht="14.15" customHeight="1" x14ac:dyDescent="0.25">
      <c r="A13" s="93" t="str">
        <f t="shared" si="0"/>
        <v>T-012</v>
      </c>
      <c r="B13" s="45">
        <v>2.5</v>
      </c>
      <c r="C13" s="45" t="s">
        <v>112</v>
      </c>
      <c r="D13" s="45" t="s">
        <v>364</v>
      </c>
      <c r="E13" s="45" t="s">
        <v>353</v>
      </c>
      <c r="F13" s="45" t="s">
        <v>114</v>
      </c>
      <c r="G13" s="45" t="s">
        <v>377</v>
      </c>
      <c r="H13" s="45" t="s">
        <v>381</v>
      </c>
      <c r="I13" s="46">
        <v>45819</v>
      </c>
      <c r="J13" s="46">
        <v>45860</v>
      </c>
      <c r="K13" s="38">
        <f t="shared" si="1"/>
        <v>42</v>
      </c>
      <c r="L13" s="46">
        <v>46034</v>
      </c>
      <c r="M13" s="46">
        <v>46112</v>
      </c>
      <c r="N13" s="45" t="s">
        <v>20</v>
      </c>
      <c r="O13" s="47">
        <v>1</v>
      </c>
      <c r="P13" s="74" t="b">
        <v>1</v>
      </c>
      <c r="Q13" s="46">
        <v>46034</v>
      </c>
      <c r="R13" s="46">
        <v>46112</v>
      </c>
      <c r="S13" s="38">
        <f t="shared" si="2"/>
        <v>0</v>
      </c>
      <c r="T13" s="38" t="str">
        <f t="shared" ca="1" si="3"/>
        <v>Green</v>
      </c>
      <c r="U13" s="94"/>
      <c r="V13">
        <f>IF(AND(OR($P13="☑",$P13=TRUE,$P13=1,$P13="Y",$P13="Yes",$P13="✔",$P13="☒",$P13="X"),$D13&lt;&gt;""),COUNTIF($P$2:$P13,"☑")+COUNTIF($P$2:$P13,TRUE)+COUNTIF($P$2:$P13,1)+COUNTIF($P$2:$P13,"Y")+COUNTIF($P$2:$P13,"Yes")+COUNTIF($P$2:$P13,"✔")+COUNTIF($P$2:$P13,"☒")+COUNTIF($P$2:$P13,"X"),"")</f>
        <v>12</v>
      </c>
    </row>
    <row r="14" spans="1:22" ht="14.15" customHeight="1" x14ac:dyDescent="0.25">
      <c r="A14" s="93" t="str">
        <f t="shared" si="0"/>
        <v>T-013</v>
      </c>
      <c r="B14" s="45">
        <v>2.6</v>
      </c>
      <c r="C14" s="45" t="s">
        <v>112</v>
      </c>
      <c r="D14" s="45" t="s">
        <v>365</v>
      </c>
      <c r="E14" s="45" t="s">
        <v>353</v>
      </c>
      <c r="F14" s="45" t="s">
        <v>115</v>
      </c>
      <c r="G14" s="45" t="s">
        <v>377</v>
      </c>
      <c r="H14" s="45" t="s">
        <v>381</v>
      </c>
      <c r="I14" s="46">
        <v>45847</v>
      </c>
      <c r="J14" s="46">
        <v>45888</v>
      </c>
      <c r="K14" s="38">
        <f t="shared" si="1"/>
        <v>42</v>
      </c>
      <c r="L14" s="46">
        <v>46027</v>
      </c>
      <c r="M14" s="46">
        <v>46112</v>
      </c>
      <c r="N14" s="45" t="s">
        <v>20</v>
      </c>
      <c r="O14" s="47">
        <v>1</v>
      </c>
      <c r="P14" s="74" t="b">
        <v>1</v>
      </c>
      <c r="Q14" s="46">
        <v>46027</v>
      </c>
      <c r="R14" s="46">
        <v>46112</v>
      </c>
      <c r="S14" s="38">
        <f t="shared" si="2"/>
        <v>0</v>
      </c>
      <c r="T14" s="38" t="str">
        <f t="shared" ca="1" si="3"/>
        <v>Green</v>
      </c>
      <c r="U14" s="94"/>
      <c r="V14">
        <f>IF(AND(OR($P14="☑",$P14=TRUE,$P14=1,$P14="Y",$P14="Yes",$P14="✔",$P14="☒",$P14="X"),$D14&lt;&gt;""),COUNTIF($P$2:$P14,"☑")+COUNTIF($P$2:$P14,TRUE)+COUNTIF($P$2:$P14,1)+COUNTIF($P$2:$P14,"Y")+COUNTIF($P$2:$P14,"Yes")+COUNTIF($P$2:$P14,"✔")+COUNTIF($P$2:$P14,"☒")+COUNTIF($P$2:$P14,"X"),"")</f>
        <v>13</v>
      </c>
    </row>
    <row r="15" spans="1:22" ht="14.15" customHeight="1" x14ac:dyDescent="0.25">
      <c r="A15" s="93" t="str">
        <f t="shared" si="0"/>
        <v>T-014</v>
      </c>
      <c r="B15" s="45">
        <v>2.7</v>
      </c>
      <c r="C15" s="45" t="s">
        <v>112</v>
      </c>
      <c r="D15" s="45" t="s">
        <v>366</v>
      </c>
      <c r="E15" s="45" t="s">
        <v>353</v>
      </c>
      <c r="F15" s="45" t="s">
        <v>116</v>
      </c>
      <c r="G15" s="45" t="s">
        <v>377</v>
      </c>
      <c r="H15" s="45" t="s">
        <v>381</v>
      </c>
      <c r="I15" s="46">
        <v>45861</v>
      </c>
      <c r="J15" s="46">
        <v>45888</v>
      </c>
      <c r="K15" s="38">
        <f t="shared" si="1"/>
        <v>28</v>
      </c>
      <c r="L15" s="46">
        <v>46055</v>
      </c>
      <c r="M15" s="46">
        <v>46112</v>
      </c>
      <c r="N15" s="45" t="s">
        <v>20</v>
      </c>
      <c r="O15" s="47">
        <v>1</v>
      </c>
      <c r="P15" s="74" t="b">
        <v>1</v>
      </c>
      <c r="Q15" s="46">
        <v>46055</v>
      </c>
      <c r="R15" s="46">
        <v>46112</v>
      </c>
      <c r="S15" s="38">
        <f t="shared" si="2"/>
        <v>0</v>
      </c>
      <c r="T15" s="38" t="str">
        <f t="shared" ca="1" si="3"/>
        <v>Green</v>
      </c>
      <c r="U15" s="94"/>
      <c r="V15">
        <f>IF(AND(OR($P15="☑",$P15=TRUE,$P15=1,$P15="Y",$P15="Yes",$P15="✔",$P15="☒",$P15="X"),$D15&lt;&gt;""),COUNTIF($P$2:$P15,"☑")+COUNTIF($P$2:$P15,TRUE)+COUNTIF($P$2:$P15,1)+COUNTIF($P$2:$P15,"Y")+COUNTIF($P$2:$P15,"Yes")+COUNTIF($P$2:$P15,"✔")+COUNTIF($P$2:$P15,"☒")+COUNTIF($P$2:$P15,"X"),"")</f>
        <v>14</v>
      </c>
    </row>
    <row r="16" spans="1:22" ht="14.15" customHeight="1" x14ac:dyDescent="0.25">
      <c r="A16" s="93" t="str">
        <f t="shared" si="0"/>
        <v>T-015</v>
      </c>
      <c r="B16" s="45">
        <v>2.8</v>
      </c>
      <c r="C16" s="45" t="s">
        <v>112</v>
      </c>
      <c r="D16" s="45" t="s">
        <v>367</v>
      </c>
      <c r="E16" s="45" t="s">
        <v>353</v>
      </c>
      <c r="F16" s="45" t="s">
        <v>117</v>
      </c>
      <c r="G16" s="45" t="s">
        <v>377</v>
      </c>
      <c r="H16" s="45" t="s">
        <v>381</v>
      </c>
      <c r="I16" s="46">
        <v>45833</v>
      </c>
      <c r="J16" s="46">
        <v>45888</v>
      </c>
      <c r="K16" s="38">
        <f t="shared" si="1"/>
        <v>56</v>
      </c>
      <c r="L16" s="46">
        <v>46062</v>
      </c>
      <c r="M16" s="46">
        <v>46112</v>
      </c>
      <c r="N16" s="45" t="s">
        <v>20</v>
      </c>
      <c r="O16" s="47">
        <v>1</v>
      </c>
      <c r="P16" s="74" t="b">
        <v>1</v>
      </c>
      <c r="Q16" s="46">
        <v>46062</v>
      </c>
      <c r="R16" s="46">
        <v>46112</v>
      </c>
      <c r="S16" s="38">
        <f t="shared" si="2"/>
        <v>0</v>
      </c>
      <c r="T16" s="38" t="str">
        <f t="shared" ca="1" si="3"/>
        <v>Green</v>
      </c>
      <c r="U16" s="94"/>
      <c r="V16">
        <f>IF(AND(OR($P16="☑",$P16=TRUE,$P16=1,$P16="Y",$P16="Yes",$P16="✔",$P16="☒",$P16="X"),$D16&lt;&gt;""),COUNTIF($P$2:$P16,"☑")+COUNTIF($P$2:$P16,TRUE)+COUNTIF($P$2:$P16,1)+COUNTIF($P$2:$P16,"Y")+COUNTIF($P$2:$P16,"Yes")+COUNTIF($P$2:$P16,"✔")+COUNTIF($P$2:$P16,"☒")+COUNTIF($P$2:$P16,"X"),"")</f>
        <v>15</v>
      </c>
    </row>
    <row r="17" spans="1:22" ht="14.15" customHeight="1" x14ac:dyDescent="0.25">
      <c r="A17" s="93" t="str">
        <f t="shared" si="0"/>
        <v>T-016</v>
      </c>
      <c r="B17" s="45">
        <v>2.9</v>
      </c>
      <c r="C17" s="45" t="s">
        <v>112</v>
      </c>
      <c r="D17" s="45" t="s">
        <v>368</v>
      </c>
      <c r="E17" s="45" t="s">
        <v>353</v>
      </c>
      <c r="F17" s="45" t="s">
        <v>119</v>
      </c>
      <c r="G17" s="45" t="s">
        <v>377</v>
      </c>
      <c r="H17" s="45" t="s">
        <v>381</v>
      </c>
      <c r="I17" s="46">
        <v>45833</v>
      </c>
      <c r="J17" s="46">
        <v>45860</v>
      </c>
      <c r="K17" s="38">
        <f t="shared" si="1"/>
        <v>28</v>
      </c>
      <c r="L17" s="46">
        <v>46062</v>
      </c>
      <c r="M17" s="46">
        <v>46112</v>
      </c>
      <c r="N17" s="45" t="s">
        <v>20</v>
      </c>
      <c r="O17" s="47">
        <v>1</v>
      </c>
      <c r="P17" s="74" t="b">
        <v>1</v>
      </c>
      <c r="Q17" s="46">
        <v>46062</v>
      </c>
      <c r="R17" s="46">
        <v>46112</v>
      </c>
      <c r="S17" s="38">
        <f t="shared" si="2"/>
        <v>0</v>
      </c>
      <c r="T17" s="38" t="str">
        <f t="shared" ca="1" si="3"/>
        <v>Green</v>
      </c>
      <c r="U17" s="94"/>
      <c r="V17">
        <f>IF(AND(OR($P17="☑",$P17=TRUE,$P17=1,$P17="Y",$P17="Yes",$P17="✔",$P17="☒",$P17="X"),$D17&lt;&gt;""),COUNTIF($P$2:$P17,"☑")+COUNTIF($P$2:$P17,TRUE)+COUNTIF($P$2:$P17,1)+COUNTIF($P$2:$P17,"Y")+COUNTIF($P$2:$P17,"Yes")+COUNTIF($P$2:$P17,"✔")+COUNTIF($P$2:$P17,"☒")+COUNTIF($P$2:$P17,"X"),"")</f>
        <v>16</v>
      </c>
    </row>
    <row r="18" spans="1:22" ht="14.15" customHeight="1" x14ac:dyDescent="0.25">
      <c r="A18" s="93" t="str">
        <f t="shared" si="0"/>
        <v>T-017</v>
      </c>
      <c r="B18" s="45">
        <v>2.1</v>
      </c>
      <c r="C18" s="45" t="s">
        <v>112</v>
      </c>
      <c r="D18" s="45" t="s">
        <v>369</v>
      </c>
      <c r="E18" s="45" t="s">
        <v>113</v>
      </c>
      <c r="F18" s="45" t="s">
        <v>120</v>
      </c>
      <c r="G18" s="45" t="s">
        <v>378</v>
      </c>
      <c r="H18" s="45" t="s">
        <v>381</v>
      </c>
      <c r="I18" s="46">
        <v>45875</v>
      </c>
      <c r="J18" s="46">
        <v>45878</v>
      </c>
      <c r="K18" s="38">
        <f t="shared" si="1"/>
        <v>4</v>
      </c>
      <c r="L18" s="46">
        <v>46034</v>
      </c>
      <c r="M18" s="46">
        <v>46112</v>
      </c>
      <c r="N18" s="45" t="s">
        <v>20</v>
      </c>
      <c r="O18" s="47">
        <v>1</v>
      </c>
      <c r="P18" s="74" t="b">
        <v>1</v>
      </c>
      <c r="Q18" s="46">
        <v>46034</v>
      </c>
      <c r="R18" s="46">
        <v>46112</v>
      </c>
      <c r="S18" s="38">
        <f t="shared" si="2"/>
        <v>0</v>
      </c>
      <c r="T18" s="38" t="str">
        <f t="shared" ca="1" si="3"/>
        <v>Green</v>
      </c>
      <c r="U18" s="94"/>
      <c r="V18">
        <f>IF(AND(OR($P18="☑",$P18=TRUE,$P18=1,$P18="Y",$P18="Yes",$P18="✔",$P18="☒",$P18="X"),$D18&lt;&gt;""),COUNTIF($P$2:$P18,"☑")+COUNTIF($P$2:$P18,TRUE)+COUNTIF($P$2:$P18,1)+COUNTIF($P$2:$P18,"Y")+COUNTIF($P$2:$P18,"Yes")+COUNTIF($P$2:$P18,"✔")+COUNTIF($P$2:$P18,"☒")+COUNTIF($P$2:$P18,"X"),"")</f>
        <v>17</v>
      </c>
    </row>
    <row r="19" spans="1:22" ht="14.15" customHeight="1" x14ac:dyDescent="0.25">
      <c r="A19" s="93" t="str">
        <f t="shared" si="0"/>
        <v>T-018</v>
      </c>
      <c r="B19" s="45">
        <v>2.11</v>
      </c>
      <c r="C19" s="45" t="s">
        <v>112</v>
      </c>
      <c r="D19" s="45" t="s">
        <v>370</v>
      </c>
      <c r="E19" s="45" t="s">
        <v>113</v>
      </c>
      <c r="F19" s="45" t="s">
        <v>121</v>
      </c>
      <c r="G19" s="45" t="s">
        <v>378</v>
      </c>
      <c r="H19" s="45" t="s">
        <v>381</v>
      </c>
      <c r="I19" s="46">
        <v>45878</v>
      </c>
      <c r="J19" s="46">
        <v>45888</v>
      </c>
      <c r="K19" s="38">
        <f t="shared" si="1"/>
        <v>11</v>
      </c>
      <c r="L19" s="46">
        <v>46034</v>
      </c>
      <c r="M19" s="46">
        <v>46129</v>
      </c>
      <c r="N19" s="45" t="s">
        <v>20</v>
      </c>
      <c r="O19" s="47">
        <v>1</v>
      </c>
      <c r="P19" s="74" t="b">
        <v>1</v>
      </c>
      <c r="Q19" s="46">
        <v>46034</v>
      </c>
      <c r="R19" s="46">
        <v>46129</v>
      </c>
      <c r="S19" s="38">
        <f t="shared" si="2"/>
        <v>0</v>
      </c>
      <c r="T19" s="38" t="str">
        <f t="shared" ca="1" si="3"/>
        <v>Green</v>
      </c>
      <c r="U19" s="94"/>
      <c r="V19">
        <f>IF(AND(OR($P19="☑",$P19=TRUE,$P19=1,$P19="Y",$P19="Yes",$P19="✔",$P19="☒",$P19="X"),$D19&lt;&gt;""),COUNTIF($P$2:$P19,"☑")+COUNTIF($P$2:$P19,TRUE)+COUNTIF($P$2:$P19,1)+COUNTIF($P$2:$P19,"Y")+COUNTIF($P$2:$P19,"Yes")+COUNTIF($P$2:$P19,"✔")+COUNTIF($P$2:$P19,"☒")+COUNTIF($P$2:$P19,"X"),"")</f>
        <v>18</v>
      </c>
    </row>
    <row r="20" spans="1:22" ht="14.15" customHeight="1" x14ac:dyDescent="0.25">
      <c r="A20" s="93" t="str">
        <f t="shared" si="0"/>
        <v>T-019</v>
      </c>
      <c r="B20" s="45">
        <v>2.12</v>
      </c>
      <c r="C20" s="45" t="s">
        <v>112</v>
      </c>
      <c r="D20" s="45" t="s">
        <v>371</v>
      </c>
      <c r="E20" s="45" t="s">
        <v>246</v>
      </c>
      <c r="F20" s="45" t="s">
        <v>122</v>
      </c>
      <c r="G20" s="45" t="s">
        <v>379</v>
      </c>
      <c r="H20" s="45" t="s">
        <v>382</v>
      </c>
      <c r="I20" s="46">
        <v>45882</v>
      </c>
      <c r="J20" s="46">
        <v>45888</v>
      </c>
      <c r="K20" s="38">
        <f t="shared" si="1"/>
        <v>7</v>
      </c>
      <c r="L20" s="46">
        <v>46129</v>
      </c>
      <c r="M20" s="46">
        <v>46129</v>
      </c>
      <c r="N20" s="45" t="s">
        <v>20</v>
      </c>
      <c r="O20" s="47">
        <v>1</v>
      </c>
      <c r="P20" s="74" t="b">
        <v>1</v>
      </c>
      <c r="Q20" s="46">
        <v>46129</v>
      </c>
      <c r="R20" s="46">
        <v>46129</v>
      </c>
      <c r="S20" s="38">
        <f t="shared" si="2"/>
        <v>0</v>
      </c>
      <c r="T20" s="38" t="str">
        <f t="shared" ca="1" si="3"/>
        <v>Green</v>
      </c>
      <c r="U20" s="94"/>
      <c r="V20">
        <f>IF(AND(OR($P20="☑",$P20=TRUE,$P20=1,$P20="Y",$P20="Yes",$P20="✔",$P20="☒",$P20="X"),$D20&lt;&gt;""),COUNTIF($P$2:$P20,"☑")+COUNTIF($P$2:$P20,TRUE)+COUNTIF($P$2:$P20,1)+COUNTIF($P$2:$P20,"Y")+COUNTIF($P$2:$P20,"Yes")+COUNTIF($P$2:$P20,"✔")+COUNTIF($P$2:$P20,"☒")+COUNTIF($P$2:$P20,"X"),"")</f>
        <v>19</v>
      </c>
    </row>
    <row r="21" spans="1:22" ht="14.15" customHeight="1" x14ac:dyDescent="0.25">
      <c r="A21" s="93" t="str">
        <f t="shared" si="0"/>
        <v>T-020</v>
      </c>
      <c r="B21" s="45">
        <v>2.13</v>
      </c>
      <c r="C21" s="45" t="s">
        <v>112</v>
      </c>
      <c r="D21" s="45" t="s">
        <v>372</v>
      </c>
      <c r="E21" s="45" t="s">
        <v>376</v>
      </c>
      <c r="F21" s="45" t="s">
        <v>119</v>
      </c>
      <c r="G21" s="45" t="s">
        <v>379</v>
      </c>
      <c r="H21" s="45" t="s">
        <v>382</v>
      </c>
      <c r="I21" s="46">
        <v>45915</v>
      </c>
      <c r="J21" s="46">
        <v>45915</v>
      </c>
      <c r="K21" s="38">
        <f t="shared" si="1"/>
        <v>1</v>
      </c>
      <c r="L21" s="46">
        <v>45915</v>
      </c>
      <c r="M21" s="46">
        <v>45915</v>
      </c>
      <c r="N21" s="45" t="s">
        <v>20</v>
      </c>
      <c r="O21" s="47">
        <v>1</v>
      </c>
      <c r="P21" s="74" t="b">
        <v>1</v>
      </c>
      <c r="Q21" s="46">
        <v>45915</v>
      </c>
      <c r="R21" s="46">
        <v>45915</v>
      </c>
      <c r="S21" s="38">
        <f t="shared" si="2"/>
        <v>0</v>
      </c>
      <c r="T21" s="38" t="str">
        <f t="shared" ca="1" si="3"/>
        <v>Green</v>
      </c>
      <c r="U21" s="94"/>
      <c r="V21">
        <f>IF(AND(OR($P21="☑",$P21=TRUE,$P21=1,$P21="Y",$P21="Yes",$P21="✔",$P21="☒",$P21="X"),$D21&lt;&gt;""),COUNTIF($P$2:$P21,"☑")+COUNTIF($P$2:$P21,TRUE)+COUNTIF($P$2:$P21,1)+COUNTIF($P$2:$P21,"Y")+COUNTIF($P$2:$P21,"Yes")+COUNTIF($P$2:$P21,"✔")+COUNTIF($P$2:$P21,"☒")+COUNTIF($P$2:$P21,"X"),"")</f>
        <v>20</v>
      </c>
    </row>
    <row r="22" spans="1:22" ht="14.15" customHeight="1" x14ac:dyDescent="0.25">
      <c r="A22" s="93" t="str">
        <f t="shared" si="0"/>
        <v>T-021</v>
      </c>
      <c r="B22" s="45">
        <v>2.14</v>
      </c>
      <c r="C22" s="45" t="s">
        <v>102</v>
      </c>
      <c r="D22" s="45" t="s">
        <v>373</v>
      </c>
      <c r="E22" s="45" t="s">
        <v>246</v>
      </c>
      <c r="F22" s="45" t="s">
        <v>119</v>
      </c>
      <c r="G22" s="45" t="s">
        <v>379</v>
      </c>
      <c r="H22" s="45" t="s">
        <v>382</v>
      </c>
      <c r="I22" s="46">
        <v>45915</v>
      </c>
      <c r="J22" s="46">
        <v>45915</v>
      </c>
      <c r="K22" s="38">
        <f t="shared" si="1"/>
        <v>1</v>
      </c>
      <c r="L22" s="46">
        <v>45915</v>
      </c>
      <c r="M22" s="46">
        <v>45915</v>
      </c>
      <c r="N22" s="45" t="s">
        <v>20</v>
      </c>
      <c r="O22" s="47">
        <v>1</v>
      </c>
      <c r="P22" s="74" t="b">
        <v>1</v>
      </c>
      <c r="Q22" s="46">
        <v>45915</v>
      </c>
      <c r="R22" s="46">
        <v>45915</v>
      </c>
      <c r="S22" s="38">
        <f t="shared" si="2"/>
        <v>0</v>
      </c>
      <c r="T22" s="38" t="str">
        <f t="shared" ca="1" si="3"/>
        <v>Green</v>
      </c>
      <c r="U22" s="94"/>
      <c r="V22">
        <f>IF(AND(OR($P22="☑",$P22=TRUE,$P22=1,$P22="Y",$P22="Yes",$P22="✔",$P22="☒",$P22="X"),$D22&lt;&gt;""),COUNTIF($P$2:$P22,"☑")+COUNTIF($P$2:$P22,TRUE)+COUNTIF($P$2:$P22,1)+COUNTIF($P$2:$P22,"Y")+COUNTIF($P$2:$P22,"Yes")+COUNTIF($P$2:$P22,"✔")+COUNTIF($P$2:$P22,"☒")+COUNTIF($P$2:$P22,"X"),"")</f>
        <v>21</v>
      </c>
    </row>
    <row r="23" spans="1:22" ht="14.15" customHeight="1" x14ac:dyDescent="0.25">
      <c r="A23" s="93" t="str">
        <f t="shared" si="0"/>
        <v>T-022</v>
      </c>
      <c r="B23" s="45">
        <v>2.15</v>
      </c>
      <c r="C23" s="45" t="s">
        <v>102</v>
      </c>
      <c r="D23" s="45" t="s">
        <v>375</v>
      </c>
      <c r="E23" s="45" t="s">
        <v>123</v>
      </c>
      <c r="F23" s="45" t="s">
        <v>119</v>
      </c>
      <c r="G23" s="45" t="s">
        <v>379</v>
      </c>
      <c r="H23" s="45" t="s">
        <v>382</v>
      </c>
      <c r="I23" s="46">
        <v>45915</v>
      </c>
      <c r="J23" s="46">
        <v>45991</v>
      </c>
      <c r="K23" s="38">
        <f t="shared" si="1"/>
        <v>77</v>
      </c>
      <c r="L23" s="46">
        <v>45915</v>
      </c>
      <c r="M23" s="46">
        <v>46142</v>
      </c>
      <c r="N23" s="45" t="s">
        <v>20</v>
      </c>
      <c r="O23" s="47">
        <v>1</v>
      </c>
      <c r="P23" s="74" t="b">
        <v>1</v>
      </c>
      <c r="Q23" s="46">
        <v>45915</v>
      </c>
      <c r="R23" s="46">
        <v>45991</v>
      </c>
      <c r="S23" s="38">
        <f t="shared" si="2"/>
        <v>151</v>
      </c>
      <c r="T23" s="38" t="str">
        <f t="shared" ca="1" si="3"/>
        <v>Green</v>
      </c>
      <c r="U23" s="94"/>
      <c r="V23">
        <f>IF(AND(OR($P23="☑",$P23=TRUE,$P23=1,$P23="Y",$P23="Yes",$P23="✔",$P23="☒",$P23="X"),$D23&lt;&gt;""),COUNTIF($P$2:$P23,"☑")+COUNTIF($P$2:$P23,TRUE)+COUNTIF($P$2:$P23,1)+COUNTIF($P$2:$P23,"Y")+COUNTIF($P$2:$P23,"Yes")+COUNTIF($P$2:$P23,"✔")+COUNTIF($P$2:$P23,"☒")+COUNTIF($P$2:$P23,"X"),"")</f>
        <v>22</v>
      </c>
    </row>
    <row r="24" spans="1:22" ht="14.15" customHeight="1" x14ac:dyDescent="0.25">
      <c r="A24" s="93" t="str">
        <f t="shared" si="0"/>
        <v>T-023</v>
      </c>
      <c r="B24" s="45">
        <v>3.1</v>
      </c>
      <c r="C24" s="45" t="s">
        <v>118</v>
      </c>
      <c r="D24" s="45" t="s">
        <v>374</v>
      </c>
      <c r="E24" s="45" t="s">
        <v>123</v>
      </c>
      <c r="F24" s="45" t="s">
        <v>383</v>
      </c>
      <c r="G24" s="45" t="s">
        <v>342</v>
      </c>
      <c r="H24" s="45" t="s">
        <v>380</v>
      </c>
      <c r="I24" s="46">
        <v>46143</v>
      </c>
      <c r="J24" s="46">
        <v>46143</v>
      </c>
      <c r="K24" s="38">
        <f t="shared" si="1"/>
        <v>1</v>
      </c>
      <c r="L24" s="46">
        <v>46143</v>
      </c>
      <c r="M24" s="46">
        <v>46143</v>
      </c>
      <c r="N24" s="45" t="s">
        <v>25</v>
      </c>
      <c r="O24" s="47">
        <v>1</v>
      </c>
      <c r="P24" s="74" t="b">
        <v>1</v>
      </c>
      <c r="Q24" s="46">
        <v>46143</v>
      </c>
      <c r="R24" s="46">
        <v>46143</v>
      </c>
      <c r="S24" s="38">
        <f t="shared" si="2"/>
        <v>0</v>
      </c>
      <c r="T24" s="38" t="str">
        <f t="shared" ca="1" si="3"/>
        <v>Red</v>
      </c>
      <c r="U24" s="94"/>
      <c r="V24">
        <f>IF(AND(OR($P24="☑",$P24=TRUE,$P24=1,$P24="Y",$P24="Yes",$P24="✔",$P24="☒",$P24="X"),$D24&lt;&gt;""),COUNTIF($P$2:$P24,"☑")+COUNTIF($P$2:$P24,TRUE)+COUNTIF($P$2:$P24,1)+COUNTIF($P$2:$P24,"Y")+COUNTIF($P$2:$P24,"Yes")+COUNTIF($P$2:$P24,"✔")+COUNTIF($P$2:$P24,"☒")+COUNTIF($P$2:$P24,"X"),"")</f>
        <v>23</v>
      </c>
    </row>
    <row r="25" spans="1:22" ht="14.15" customHeight="1" x14ac:dyDescent="0.25">
      <c r="A25" s="93" t="str">
        <f t="shared" si="0"/>
        <v/>
      </c>
      <c r="B25" s="45">
        <v>3.2</v>
      </c>
      <c r="C25" s="45" t="s">
        <v>102</v>
      </c>
      <c r="D25" s="45"/>
      <c r="E25" s="45"/>
      <c r="F25" s="45"/>
      <c r="G25" s="45"/>
      <c r="H25" s="45"/>
      <c r="I25" s="46"/>
      <c r="J25" s="46"/>
      <c r="K25" s="38"/>
      <c r="L25" s="46"/>
      <c r="M25" s="46"/>
      <c r="N25" s="45"/>
      <c r="O25" s="47"/>
      <c r="P25" s="74" t="b">
        <v>0</v>
      </c>
      <c r="Q25" s="46"/>
      <c r="R25" s="46"/>
      <c r="S25" s="38"/>
      <c r="T25" s="38"/>
      <c r="U25" s="94"/>
      <c r="V25" t="str">
        <f>IF(AND(OR($P25="☑",$P25=TRUE,$P25=1,$P25="Y",$P25="Yes",$P25="✔",$P25="☒",$P25="X"),$D25&lt;&gt;""),COUNTIF($P$2:$P25,"☑")+COUNTIF($P$2:$P25,TRUE)+COUNTIF($P$2:$P25,1)+COUNTIF($P$2:$P25,"Y")+COUNTIF($P$2:$P25,"Yes")+COUNTIF($P$2:$P25,"✔")+COUNTIF($P$2:$P25,"☒")+COUNTIF($P$2:$P25,"X"),"")</f>
        <v/>
      </c>
    </row>
    <row r="26" spans="1:22" ht="14.15" customHeight="1" x14ac:dyDescent="0.25">
      <c r="A26" s="93" t="str">
        <f t="shared" si="0"/>
        <v/>
      </c>
      <c r="B26" s="45">
        <v>3.3</v>
      </c>
      <c r="C26" s="45" t="s">
        <v>102</v>
      </c>
      <c r="D26" s="45"/>
      <c r="E26" s="45"/>
      <c r="F26" s="45"/>
      <c r="G26" s="45"/>
      <c r="H26" s="45"/>
      <c r="I26" s="46"/>
      <c r="J26" s="46"/>
      <c r="K26" s="38"/>
      <c r="L26" s="46"/>
      <c r="M26" s="46"/>
      <c r="N26" s="45"/>
      <c r="O26" s="47"/>
      <c r="P26" s="74" t="b">
        <v>0</v>
      </c>
      <c r="Q26" s="46"/>
      <c r="R26" s="46"/>
      <c r="S26" s="38"/>
      <c r="T26" s="38"/>
      <c r="U26" s="94"/>
      <c r="V26" t="str">
        <f>IF(AND(OR($P26="☑",$P26=TRUE,$P26=1,$P26="Y",$P26="Yes",$P26="✔",$P26="☒",$P26="X"),$D26&lt;&gt;""),COUNTIF($P$2:$P26,"☑")+COUNTIF($P$2:$P26,TRUE)+COUNTIF($P$2:$P26,1)+COUNTIF($P$2:$P26,"Y")+COUNTIF($P$2:$P26,"Yes")+COUNTIF($P$2:$P26,"✔")+COUNTIF($P$2:$P26,"☒")+COUNTIF($P$2:$P26,"X"),"")</f>
        <v/>
      </c>
    </row>
    <row r="27" spans="1:22" ht="14.15" customHeight="1" x14ac:dyDescent="0.25">
      <c r="A27" s="93" t="str">
        <f t="shared" si="0"/>
        <v/>
      </c>
      <c r="B27" s="45">
        <v>4</v>
      </c>
      <c r="C27" s="45" t="s">
        <v>102</v>
      </c>
      <c r="D27" s="45"/>
      <c r="E27" s="45"/>
      <c r="F27" s="45"/>
      <c r="G27" s="45"/>
      <c r="H27" s="45"/>
      <c r="I27" s="46"/>
      <c r="J27" s="46"/>
      <c r="K27" s="38"/>
      <c r="L27" s="46"/>
      <c r="M27" s="46"/>
      <c r="N27" s="45"/>
      <c r="O27" s="47"/>
      <c r="P27" s="74" t="b">
        <v>0</v>
      </c>
      <c r="Q27" s="46"/>
      <c r="R27" s="46"/>
      <c r="S27" s="38"/>
      <c r="T27" s="38"/>
      <c r="U27" s="94"/>
      <c r="V27" t="str">
        <f>IF(AND(OR($P27="☑",$P27=TRUE,$P27=1,$P27="Y",$P27="Yes",$P27="✔",$P27="☒",$P27="X"),$D27&lt;&gt;""),COUNTIF($P$2:$P27,"☑")+COUNTIF($P$2:$P27,TRUE)+COUNTIF($P$2:$P27,1)+COUNTIF($P$2:$P27,"Y")+COUNTIF($P$2:$P27,"Yes")+COUNTIF($P$2:$P27,"✔")+COUNTIF($P$2:$P27,"☒")+COUNTIF($P$2:$P27,"X"),"")</f>
        <v/>
      </c>
    </row>
    <row r="28" spans="1:22" ht="14.15" customHeight="1" x14ac:dyDescent="0.25">
      <c r="A28" s="93" t="str">
        <f t="shared" si="0"/>
        <v/>
      </c>
      <c r="B28" s="45">
        <v>4.0999999999999996</v>
      </c>
      <c r="C28" s="45" t="s">
        <v>102</v>
      </c>
      <c r="D28" s="45"/>
      <c r="E28" s="45"/>
      <c r="F28" s="45"/>
      <c r="G28" s="45"/>
      <c r="H28" s="45"/>
      <c r="I28" s="46"/>
      <c r="J28" s="46"/>
      <c r="K28" s="38"/>
      <c r="L28" s="46"/>
      <c r="M28" s="46"/>
      <c r="N28" s="45"/>
      <c r="O28" s="47"/>
      <c r="P28" s="74" t="b">
        <v>0</v>
      </c>
      <c r="Q28" s="46"/>
      <c r="R28" s="46"/>
      <c r="S28" s="38"/>
      <c r="T28" s="38"/>
      <c r="U28" s="94"/>
      <c r="V28" t="str">
        <f>IF(AND(OR($P28="☑",$P28=TRUE,$P28=1,$P28="Y",$P28="Yes",$P28="✔",$P28="☒",$P28="X"),$D28&lt;&gt;""),COUNTIF($P$2:$P28,"☑")+COUNTIF($P$2:$P28,TRUE)+COUNTIF($P$2:$P28,1)+COUNTIF($P$2:$P28,"Y")+COUNTIF($P$2:$P28,"Yes")+COUNTIF($P$2:$P28,"✔")+COUNTIF($P$2:$P28,"☒")+COUNTIF($P$2:$P28,"X"),"")</f>
        <v/>
      </c>
    </row>
    <row r="29" spans="1:22" ht="14.15" customHeight="1" x14ac:dyDescent="0.25">
      <c r="A29" s="93" t="str">
        <f t="shared" ref="A29:A51" si="4">IF(D29="","","T-"&amp;TEXT(ROW()-1,"000"))</f>
        <v/>
      </c>
      <c r="B29" s="45">
        <v>4.2</v>
      </c>
      <c r="C29" s="45" t="s">
        <v>102</v>
      </c>
      <c r="D29" s="45"/>
      <c r="E29" s="45"/>
      <c r="F29" s="45"/>
      <c r="G29" s="45"/>
      <c r="H29" s="45"/>
      <c r="I29" s="46"/>
      <c r="J29" s="46"/>
      <c r="K29" s="38"/>
      <c r="L29" s="46"/>
      <c r="M29" s="46"/>
      <c r="N29" s="45"/>
      <c r="O29" s="47"/>
      <c r="P29" s="74" t="b">
        <v>0</v>
      </c>
      <c r="Q29" s="46"/>
      <c r="R29" s="46"/>
      <c r="S29" s="38"/>
      <c r="T29" s="38"/>
      <c r="U29" s="94"/>
      <c r="V29" t="str">
        <f>IF(AND(OR($P29="☑",$P29=TRUE,$P29=1,$P29="Y",$P29="Yes",$P29="✔",$P29="☒",$P29="X"),$D29&lt;&gt;""),COUNTIF($P$2:$P29,"☑")+COUNTIF($P$2:$P29,TRUE)+COUNTIF($P$2:$P29,1)+COUNTIF($P$2:$P29,"Y")+COUNTIF($P$2:$P29,"Yes")+COUNTIF($P$2:$P29,"✔")+COUNTIF($P$2:$P29,"☒")+COUNTIF($P$2:$P29,"X"),"")</f>
        <v/>
      </c>
    </row>
    <row r="30" spans="1:22" ht="14.15" customHeight="1" x14ac:dyDescent="0.25">
      <c r="A30" s="93" t="str">
        <f t="shared" si="4"/>
        <v/>
      </c>
      <c r="B30" s="45">
        <v>4.3</v>
      </c>
      <c r="C30" s="45" t="s">
        <v>118</v>
      </c>
      <c r="D30" s="45"/>
      <c r="E30" s="45"/>
      <c r="F30" s="45"/>
      <c r="G30" s="45"/>
      <c r="H30" s="45"/>
      <c r="I30" s="46"/>
      <c r="J30" s="46"/>
      <c r="K30" s="38"/>
      <c r="L30" s="46"/>
      <c r="M30" s="46"/>
      <c r="N30" s="45"/>
      <c r="O30" s="47"/>
      <c r="P30" s="74" t="b">
        <v>0</v>
      </c>
      <c r="Q30" s="46"/>
      <c r="R30" s="46"/>
      <c r="S30" s="38"/>
      <c r="T30" s="38"/>
      <c r="U30" s="94"/>
      <c r="V30" t="str">
        <f>IF(AND(OR($P30="☑",$P30=TRUE,$P30=1,$P30="Y",$P30="Yes",$P30="✔",$P30="☒",$P30="X"),$D30&lt;&gt;""),COUNTIF($P$2:$P30,"☑")+COUNTIF($P$2:$P30,TRUE)+COUNTIF($P$2:$P30,1)+COUNTIF($P$2:$P30,"Y")+COUNTIF($P$2:$P30,"Yes")+COUNTIF($P$2:$P30,"✔")+COUNTIF($P$2:$P30,"☒")+COUNTIF($P$2:$P30,"X"),"")</f>
        <v/>
      </c>
    </row>
    <row r="31" spans="1:22" ht="14.15" customHeight="1" x14ac:dyDescent="0.25">
      <c r="A31" s="93" t="str">
        <f t="shared" si="4"/>
        <v/>
      </c>
      <c r="B31" s="45">
        <v>5</v>
      </c>
      <c r="C31" s="45" t="s">
        <v>90</v>
      </c>
      <c r="D31" s="45"/>
      <c r="E31" s="45"/>
      <c r="F31" s="45"/>
      <c r="G31" s="45"/>
      <c r="H31" s="45"/>
      <c r="I31" s="46"/>
      <c r="J31" s="46"/>
      <c r="K31" s="38"/>
      <c r="L31" s="46"/>
      <c r="M31" s="46"/>
      <c r="N31" s="45"/>
      <c r="O31" s="47"/>
      <c r="P31" s="74" t="b">
        <v>0</v>
      </c>
      <c r="Q31" s="46"/>
      <c r="R31" s="46"/>
      <c r="S31" s="38"/>
      <c r="T31" s="38"/>
      <c r="U31" s="94"/>
      <c r="V31" t="str">
        <f>IF(AND(OR($P31="☑",$P31=TRUE,$P31=1,$P31="Y",$P31="Yes",$P31="✔",$P31="☒",$P31="X"),$D31&lt;&gt;""),COUNTIF($P$2:$P31,"☑")+COUNTIF($P$2:$P31,TRUE)+COUNTIF($P$2:$P31,1)+COUNTIF($P$2:$P31,"Y")+COUNTIF($P$2:$P31,"Yes")+COUNTIF($P$2:$P31,"✔")+COUNTIF($P$2:$P31,"☒")+COUNTIF($P$2:$P31,"X"),"")</f>
        <v/>
      </c>
    </row>
    <row r="32" spans="1:22" ht="14.15" customHeight="1" x14ac:dyDescent="0.25">
      <c r="A32" s="93" t="str">
        <f t="shared" si="4"/>
        <v/>
      </c>
      <c r="B32" s="45">
        <v>5.0999999999999996</v>
      </c>
      <c r="C32" s="45" t="s">
        <v>90</v>
      </c>
      <c r="D32" s="45"/>
      <c r="E32" s="45"/>
      <c r="F32" s="45"/>
      <c r="G32" s="45"/>
      <c r="H32" s="45"/>
      <c r="I32" s="46"/>
      <c r="J32" s="46"/>
      <c r="K32" s="38"/>
      <c r="L32" s="46"/>
      <c r="M32" s="46"/>
      <c r="N32" s="45"/>
      <c r="O32" s="47"/>
      <c r="P32" s="74" t="b">
        <v>0</v>
      </c>
      <c r="Q32" s="46"/>
      <c r="R32" s="46"/>
      <c r="S32" s="38"/>
      <c r="T32" s="38"/>
      <c r="U32" s="94"/>
      <c r="V32" t="str">
        <f>IF(AND(OR($P32="☑",$P32=TRUE,$P32=1,$P32="Y",$P32="Yes",$P32="✔",$P32="☒",$P32="X"),$D32&lt;&gt;""),COUNTIF($P$2:$P32,"☑")+COUNTIF($P$2:$P32,TRUE)+COUNTIF($P$2:$P32,1)+COUNTIF($P$2:$P32,"Y")+COUNTIF($P$2:$P32,"Yes")+COUNTIF($P$2:$P32,"✔")+COUNTIF($P$2:$P32,"☒")+COUNTIF($P$2:$P32,"X"),"")</f>
        <v/>
      </c>
    </row>
    <row r="33" spans="1:22" ht="14.15" customHeight="1" x14ac:dyDescent="0.25">
      <c r="A33" s="93" t="str">
        <f t="shared" si="4"/>
        <v/>
      </c>
      <c r="B33" s="45">
        <v>5.2</v>
      </c>
      <c r="C33" s="45" t="s">
        <v>90</v>
      </c>
      <c r="D33" s="45"/>
      <c r="E33" s="45"/>
      <c r="F33" s="45"/>
      <c r="G33" s="45"/>
      <c r="H33" s="45"/>
      <c r="I33" s="46"/>
      <c r="J33" s="46"/>
      <c r="K33" s="38"/>
      <c r="L33" s="46"/>
      <c r="M33" s="46"/>
      <c r="N33" s="45"/>
      <c r="O33" s="47"/>
      <c r="P33" s="74" t="b">
        <v>0</v>
      </c>
      <c r="Q33" s="46"/>
      <c r="R33" s="46"/>
      <c r="S33" s="38"/>
      <c r="T33" s="38"/>
      <c r="U33" s="94"/>
      <c r="V33" t="str">
        <f>IF(AND(OR($P33="☑",$P33=TRUE,$P33=1,$P33="Y",$P33="Yes",$P33="✔",$P33="☒",$P33="X"),$D33&lt;&gt;""),COUNTIF($P$2:$P33,"☑")+COUNTIF($P$2:$P33,TRUE)+COUNTIF($P$2:$P33,1)+COUNTIF($P$2:$P33,"Y")+COUNTIF($P$2:$P33,"Yes")+COUNTIF($P$2:$P33,"✔")+COUNTIF($P$2:$P33,"☒")+COUNTIF($P$2:$P33,"X"),"")</f>
        <v/>
      </c>
    </row>
    <row r="34" spans="1:22" ht="14.15" customHeight="1" x14ac:dyDescent="0.25">
      <c r="A34" s="93" t="str">
        <f t="shared" si="4"/>
        <v/>
      </c>
      <c r="B34" s="45">
        <v>5.3</v>
      </c>
      <c r="C34" s="45" t="s">
        <v>112</v>
      </c>
      <c r="D34" s="45"/>
      <c r="E34" s="45"/>
      <c r="F34" s="45"/>
      <c r="G34" s="45"/>
      <c r="H34" s="45"/>
      <c r="I34" s="46"/>
      <c r="J34" s="46"/>
      <c r="K34" s="38"/>
      <c r="L34" s="46"/>
      <c r="M34" s="46"/>
      <c r="N34" s="45"/>
      <c r="O34" s="47"/>
      <c r="P34" s="74" t="b">
        <v>0</v>
      </c>
      <c r="Q34" s="46"/>
      <c r="R34" s="46"/>
      <c r="S34" s="38"/>
      <c r="T34" s="38"/>
      <c r="U34" s="94"/>
      <c r="V34" t="str">
        <f>IF(AND(OR($P34="☑",$P34=TRUE,$P34=1,$P34="Y",$P34="Yes",$P34="✔",$P34="☒",$P34="X"),$D34&lt;&gt;""),COUNTIF($P$2:$P34,"☑")+COUNTIF($P$2:$P34,TRUE)+COUNTIF($P$2:$P34,1)+COUNTIF($P$2:$P34,"Y")+COUNTIF($P$2:$P34,"Yes")+COUNTIF($P$2:$P34,"✔")+COUNTIF($P$2:$P34,"☒")+COUNTIF($P$2:$P34,"X"),"")</f>
        <v/>
      </c>
    </row>
    <row r="35" spans="1:22" ht="14.15" customHeight="1" x14ac:dyDescent="0.25">
      <c r="A35" s="93" t="str">
        <f t="shared" si="4"/>
        <v/>
      </c>
      <c r="B35" s="45">
        <v>5.4</v>
      </c>
      <c r="C35" s="45" t="s">
        <v>112</v>
      </c>
      <c r="D35" s="45"/>
      <c r="E35" s="45"/>
      <c r="F35" s="45"/>
      <c r="G35" s="45"/>
      <c r="H35" s="45"/>
      <c r="I35" s="46"/>
      <c r="J35" s="46"/>
      <c r="K35" s="38"/>
      <c r="L35" s="46"/>
      <c r="M35" s="46"/>
      <c r="N35" s="45"/>
      <c r="O35" s="47"/>
      <c r="P35" s="74" t="b">
        <v>0</v>
      </c>
      <c r="Q35" s="46"/>
      <c r="R35" s="46"/>
      <c r="S35" s="38"/>
      <c r="T35" s="38"/>
      <c r="U35" s="94"/>
      <c r="V35" t="str">
        <f>IF(AND(OR($P35="☑",$P35=TRUE,$P35=1,$P35="Y",$P35="Yes",$P35="✔",$P35="☒",$P35="X"),$D35&lt;&gt;""),COUNTIF($P$2:$P35,"☑")+COUNTIF($P$2:$P35,TRUE)+COUNTIF($P$2:$P35,1)+COUNTIF($P$2:$P35,"Y")+COUNTIF($P$2:$P35,"Yes")+COUNTIF($P$2:$P35,"✔")+COUNTIF($P$2:$P35,"☒")+COUNTIF($P$2:$P35,"X"),"")</f>
        <v/>
      </c>
    </row>
    <row r="36" spans="1:22" ht="14.15" customHeight="1" x14ac:dyDescent="0.25">
      <c r="A36" s="93" t="str">
        <f t="shared" si="4"/>
        <v/>
      </c>
      <c r="B36" s="45">
        <v>5.5</v>
      </c>
      <c r="C36" s="45" t="s">
        <v>112</v>
      </c>
      <c r="D36" s="45"/>
      <c r="E36" s="45"/>
      <c r="F36" s="45"/>
      <c r="G36" s="45"/>
      <c r="H36" s="45"/>
      <c r="I36" s="46"/>
      <c r="J36" s="46"/>
      <c r="K36" s="38"/>
      <c r="L36" s="46"/>
      <c r="M36" s="46"/>
      <c r="N36" s="45"/>
      <c r="O36" s="47"/>
      <c r="P36" s="74" t="b">
        <v>0</v>
      </c>
      <c r="Q36" s="46"/>
      <c r="R36" s="46"/>
      <c r="S36" s="38"/>
      <c r="T36" s="38"/>
      <c r="U36" s="94"/>
      <c r="V36" t="str">
        <f>IF(AND(OR($P36="☑",$P36=TRUE,$P36=1,$P36="Y",$P36="Yes",$P36="✔",$P36="☒",$P36="X"),$D36&lt;&gt;""),COUNTIF($P$2:$P36,"☑")+COUNTIF($P$2:$P36,TRUE)+COUNTIF($P$2:$P36,1)+COUNTIF($P$2:$P36,"Y")+COUNTIF($P$2:$P36,"Yes")+COUNTIF($P$2:$P36,"✔")+COUNTIF($P$2:$P36,"☒")+COUNTIF($P$2:$P36,"X"),"")</f>
        <v/>
      </c>
    </row>
    <row r="37" spans="1:22" ht="14.15" customHeight="1" x14ac:dyDescent="0.25">
      <c r="A37" s="93" t="str">
        <f t="shared" si="4"/>
        <v/>
      </c>
      <c r="B37" s="45">
        <v>5.6</v>
      </c>
      <c r="C37" s="45" t="s">
        <v>98</v>
      </c>
      <c r="D37" s="45"/>
      <c r="E37" s="45"/>
      <c r="F37" s="45"/>
      <c r="G37" s="45"/>
      <c r="H37" s="45"/>
      <c r="I37" s="46"/>
      <c r="J37" s="46"/>
      <c r="K37" s="38"/>
      <c r="L37" s="46"/>
      <c r="M37" s="46"/>
      <c r="N37" s="45"/>
      <c r="O37" s="47"/>
      <c r="P37" s="74" t="b">
        <v>0</v>
      </c>
      <c r="Q37" s="46"/>
      <c r="R37" s="46"/>
      <c r="S37" s="38"/>
      <c r="T37" s="38"/>
      <c r="U37" s="94"/>
      <c r="V37" t="str">
        <f>IF(AND(OR($P37="☑",$P37=TRUE,$P37=1,$P37="Y",$P37="Yes",$P37="✔",$P37="☒",$P37="X"),$D37&lt;&gt;""),COUNTIF($P$2:$P37,"☑")+COUNTIF($P$2:$P37,TRUE)+COUNTIF($P$2:$P37,1)+COUNTIF($P$2:$P37,"Y")+COUNTIF($P$2:$P37,"Yes")+COUNTIF($P$2:$P37,"✔")+COUNTIF($P$2:$P37,"☒")+COUNTIF($P$2:$P37,"X"),"")</f>
        <v/>
      </c>
    </row>
    <row r="38" spans="1:22" ht="14.15" customHeight="1" x14ac:dyDescent="0.25">
      <c r="A38" s="93" t="str">
        <f t="shared" si="4"/>
        <v/>
      </c>
      <c r="B38" s="45">
        <v>5.7</v>
      </c>
      <c r="C38" s="45" t="s">
        <v>112</v>
      </c>
      <c r="D38" s="45"/>
      <c r="E38" s="45"/>
      <c r="F38" s="45"/>
      <c r="G38" s="45"/>
      <c r="H38" s="45"/>
      <c r="I38" s="46"/>
      <c r="J38" s="46"/>
      <c r="K38" s="38"/>
      <c r="L38" s="46"/>
      <c r="M38" s="46"/>
      <c r="N38" s="45"/>
      <c r="O38" s="47"/>
      <c r="P38" s="74" t="b">
        <v>0</v>
      </c>
      <c r="Q38" s="46"/>
      <c r="R38" s="46"/>
      <c r="S38" s="38"/>
      <c r="T38" s="38"/>
      <c r="U38" s="94"/>
      <c r="V38" t="str">
        <f>IF(AND(OR($P38="☑",$P38=TRUE,$P38=1,$P38="Y",$P38="Yes",$P38="✔",$P38="☒",$P38="X"),$D38&lt;&gt;""),COUNTIF($P$2:$P38,"☑")+COUNTIF($P$2:$P38,TRUE)+COUNTIF($P$2:$P38,1)+COUNTIF($P$2:$P38,"Y")+COUNTIF($P$2:$P38,"Yes")+COUNTIF($P$2:$P38,"✔")+COUNTIF($P$2:$P38,"☒")+COUNTIF($P$2:$P38,"X"),"")</f>
        <v/>
      </c>
    </row>
    <row r="39" spans="1:22" ht="14.15" customHeight="1" x14ac:dyDescent="0.25">
      <c r="A39" s="93" t="str">
        <f t="shared" si="4"/>
        <v/>
      </c>
      <c r="B39" s="45">
        <v>5.8</v>
      </c>
      <c r="C39" s="45" t="s">
        <v>112</v>
      </c>
      <c r="D39" s="45"/>
      <c r="E39" s="45"/>
      <c r="F39" s="45"/>
      <c r="G39" s="45"/>
      <c r="H39" s="45"/>
      <c r="I39" s="46"/>
      <c r="J39" s="46"/>
      <c r="K39" s="38"/>
      <c r="L39" s="46"/>
      <c r="M39" s="46"/>
      <c r="N39" s="45"/>
      <c r="O39" s="47"/>
      <c r="P39" s="74" t="b">
        <v>0</v>
      </c>
      <c r="Q39" s="46"/>
      <c r="R39" s="46"/>
      <c r="S39" s="38"/>
      <c r="T39" s="38"/>
      <c r="U39" s="94"/>
      <c r="V39" t="str">
        <f>IF(AND(OR($P39="☑",$P39=TRUE,$P39=1,$P39="Y",$P39="Yes",$P39="✔",$P39="☒",$P39="X"),$D39&lt;&gt;""),COUNTIF($P$2:$P39,"☑")+COUNTIF($P$2:$P39,TRUE)+COUNTIF($P$2:$P39,1)+COUNTIF($P$2:$P39,"Y")+COUNTIF($P$2:$P39,"Yes")+COUNTIF($P$2:$P39,"✔")+COUNTIF($P$2:$P39,"☒")+COUNTIF($P$2:$P39,"X"),"")</f>
        <v/>
      </c>
    </row>
    <row r="40" spans="1:22" ht="14.15" customHeight="1" x14ac:dyDescent="0.25">
      <c r="A40" s="93" t="str">
        <f t="shared" si="4"/>
        <v/>
      </c>
      <c r="B40" s="45">
        <v>5.9</v>
      </c>
      <c r="C40" s="45" t="s">
        <v>112</v>
      </c>
      <c r="D40" s="45"/>
      <c r="E40" s="45"/>
      <c r="F40" s="45"/>
      <c r="G40" s="45"/>
      <c r="H40" s="45"/>
      <c r="I40" s="46"/>
      <c r="J40" s="46"/>
      <c r="K40" s="38"/>
      <c r="L40" s="46"/>
      <c r="M40" s="46"/>
      <c r="N40" s="45"/>
      <c r="O40" s="47"/>
      <c r="P40" s="74" t="b">
        <v>0</v>
      </c>
      <c r="Q40" s="46"/>
      <c r="R40" s="46"/>
      <c r="S40" s="38"/>
      <c r="T40" s="38"/>
      <c r="U40" s="94"/>
      <c r="V40" t="str">
        <f>IF(AND(OR($P40="☑",$P40=TRUE,$P40=1,$P40="Y",$P40="Yes",$P40="✔",$P40="☒",$P40="X"),$D40&lt;&gt;""),COUNTIF($P$2:$P40,"☑")+COUNTIF($P$2:$P40,TRUE)+COUNTIF($P$2:$P40,1)+COUNTIF($P$2:$P40,"Y")+COUNTIF($P$2:$P40,"Yes")+COUNTIF($P$2:$P40,"✔")+COUNTIF($P$2:$P40,"☒")+COUNTIF($P$2:$P40,"X"),"")</f>
        <v/>
      </c>
    </row>
    <row r="41" spans="1:22" ht="14.15" customHeight="1" x14ac:dyDescent="0.25">
      <c r="A41" s="93" t="str">
        <f t="shared" si="4"/>
        <v/>
      </c>
      <c r="B41" s="45">
        <v>5.0999999999999996</v>
      </c>
      <c r="C41" s="45" t="s">
        <v>112</v>
      </c>
      <c r="D41" s="45"/>
      <c r="E41" s="45"/>
      <c r="F41" s="45"/>
      <c r="G41" s="45"/>
      <c r="H41" s="45"/>
      <c r="I41" s="46"/>
      <c r="J41" s="46"/>
      <c r="K41" s="38"/>
      <c r="L41" s="46"/>
      <c r="M41" s="46"/>
      <c r="N41" s="45"/>
      <c r="O41" s="47"/>
      <c r="P41" s="74" t="b">
        <v>0</v>
      </c>
      <c r="Q41" s="46"/>
      <c r="R41" s="46"/>
      <c r="S41" s="38"/>
      <c r="T41" s="38"/>
      <c r="U41" s="94"/>
      <c r="V41" t="str">
        <f>IF(AND(OR($P41="☑",$P41=TRUE,$P41=1,$P41="Y",$P41="Yes",$P41="✔",$P41="☒",$P41="X"),$D41&lt;&gt;""),COUNTIF($P$2:$P41,"☑")+COUNTIF($P$2:$P41,TRUE)+COUNTIF($P$2:$P41,1)+COUNTIF($P$2:$P41,"Y")+COUNTIF($P$2:$P41,"Yes")+COUNTIF($P$2:$P41,"✔")+COUNTIF($P$2:$P41,"☒")+COUNTIF($P$2:$P41,"X"),"")</f>
        <v/>
      </c>
    </row>
    <row r="42" spans="1:22" ht="14.15" customHeight="1" x14ac:dyDescent="0.25">
      <c r="A42" s="93" t="str">
        <f t="shared" si="4"/>
        <v/>
      </c>
      <c r="B42" s="45">
        <v>5.1100000000000003</v>
      </c>
      <c r="C42" s="45" t="s">
        <v>118</v>
      </c>
      <c r="D42" s="45"/>
      <c r="E42" s="45"/>
      <c r="F42" s="45"/>
      <c r="G42" s="45"/>
      <c r="H42" s="45"/>
      <c r="I42" s="46"/>
      <c r="J42" s="46"/>
      <c r="K42" s="38"/>
      <c r="L42" s="46"/>
      <c r="M42" s="46"/>
      <c r="N42" s="45"/>
      <c r="O42" s="47"/>
      <c r="P42" s="74" t="b">
        <v>0</v>
      </c>
      <c r="Q42" s="46"/>
      <c r="R42" s="46"/>
      <c r="S42" s="38"/>
      <c r="T42" s="38"/>
      <c r="U42" s="94"/>
      <c r="V42" t="str">
        <f>IF(AND(OR($P42="☑",$P42=TRUE,$P42=1,$P42="Y",$P42="Yes",$P42="✔",$P42="☒",$P42="X"),$D42&lt;&gt;""),COUNTIF($P$2:$P42,"☑")+COUNTIF($P$2:$P42,TRUE)+COUNTIF($P$2:$P42,1)+COUNTIF($P$2:$P42,"Y")+COUNTIF($P$2:$P42,"Yes")+COUNTIF($P$2:$P42,"✔")+COUNTIF($P$2:$P42,"☒")+COUNTIF($P$2:$P42,"X"),"")</f>
        <v/>
      </c>
    </row>
    <row r="43" spans="1:22" ht="14.15" customHeight="1" x14ac:dyDescent="0.25">
      <c r="A43" s="93" t="str">
        <f t="shared" si="4"/>
        <v/>
      </c>
      <c r="B43" s="45">
        <v>6</v>
      </c>
      <c r="C43" s="45" t="s">
        <v>98</v>
      </c>
      <c r="D43" s="45"/>
      <c r="E43" s="45"/>
      <c r="F43" s="45"/>
      <c r="G43" s="45"/>
      <c r="H43" s="45"/>
      <c r="I43" s="46"/>
      <c r="J43" s="46"/>
      <c r="K43" s="38"/>
      <c r="L43" s="46"/>
      <c r="M43" s="46"/>
      <c r="N43" s="45"/>
      <c r="O43" s="47"/>
      <c r="P43" s="74" t="b">
        <v>0</v>
      </c>
      <c r="Q43" s="46"/>
      <c r="R43" s="46"/>
      <c r="S43" s="38"/>
      <c r="T43" s="38"/>
      <c r="U43" s="94"/>
      <c r="V43" t="str">
        <f>IF(AND(OR($P43="☑",$P43=TRUE,$P43=1,$P43="Y",$P43="Yes",$P43="✔",$P43="☒",$P43="X"),$D43&lt;&gt;""),COUNTIF($P$2:$P43,"☑")+COUNTIF($P$2:$P43,TRUE)+COUNTIF($P$2:$P43,1)+COUNTIF($P$2:$P43,"Y")+COUNTIF($P$2:$P43,"Yes")+COUNTIF($P$2:$P43,"✔")+COUNTIF($P$2:$P43,"☒")+COUNTIF($P$2:$P43,"X"),"")</f>
        <v/>
      </c>
    </row>
    <row r="44" spans="1:22" ht="14.15" customHeight="1" x14ac:dyDescent="0.25">
      <c r="A44" s="93" t="str">
        <f t="shared" si="4"/>
        <v/>
      </c>
      <c r="B44" s="45">
        <v>6.1</v>
      </c>
      <c r="C44" s="45" t="s">
        <v>112</v>
      </c>
      <c r="D44" s="45"/>
      <c r="E44" s="45"/>
      <c r="F44" s="45"/>
      <c r="G44" s="45"/>
      <c r="H44" s="45"/>
      <c r="I44" s="46"/>
      <c r="J44" s="46"/>
      <c r="K44" s="38"/>
      <c r="L44" s="46"/>
      <c r="M44" s="46"/>
      <c r="N44" s="45"/>
      <c r="O44" s="47"/>
      <c r="P44" s="74" t="b">
        <v>0</v>
      </c>
      <c r="Q44" s="46"/>
      <c r="R44" s="46"/>
      <c r="S44" s="38"/>
      <c r="T44" s="38"/>
      <c r="U44" s="94"/>
      <c r="V44" t="str">
        <f>IF(AND(OR($P44="☑",$P44=TRUE,$P44=1,$P44="Y",$P44="Yes",$P44="✔",$P44="☒",$P44="X"),$D44&lt;&gt;""),COUNTIF($P$2:$P44,"☑")+COUNTIF($P$2:$P44,TRUE)+COUNTIF($P$2:$P44,1)+COUNTIF($P$2:$P44,"Y")+COUNTIF($P$2:$P44,"Yes")+COUNTIF($P$2:$P44,"✔")+COUNTIF($P$2:$P44,"☒")+COUNTIF($P$2:$P44,"X"),"")</f>
        <v/>
      </c>
    </row>
    <row r="45" spans="1:22" ht="14.15" customHeight="1" x14ac:dyDescent="0.25">
      <c r="A45" s="93" t="str">
        <f t="shared" si="4"/>
        <v/>
      </c>
      <c r="B45" s="45">
        <v>6.2</v>
      </c>
      <c r="C45" s="45" t="s">
        <v>112</v>
      </c>
      <c r="D45" s="45"/>
      <c r="E45" s="45"/>
      <c r="F45" s="45"/>
      <c r="G45" s="45"/>
      <c r="H45" s="45"/>
      <c r="I45" s="46"/>
      <c r="J45" s="46"/>
      <c r="K45" s="38"/>
      <c r="L45" s="46"/>
      <c r="M45" s="46"/>
      <c r="N45" s="45"/>
      <c r="O45" s="47"/>
      <c r="P45" s="74" t="b">
        <v>0</v>
      </c>
      <c r="Q45" s="46"/>
      <c r="R45" s="46"/>
      <c r="S45" s="38"/>
      <c r="T45" s="38"/>
      <c r="U45" s="94"/>
      <c r="V45" t="str">
        <f>IF(AND(OR($P45="☑",$P45=TRUE,$P45=1,$P45="Y",$P45="Yes",$P45="✔",$P45="☒",$P45="X"),$D45&lt;&gt;""),COUNTIF($P$2:$P45,"☑")+COUNTIF($P$2:$P45,TRUE)+COUNTIF($P$2:$P45,1)+COUNTIF($P$2:$P45,"Y")+COUNTIF($P$2:$P45,"Yes")+COUNTIF($P$2:$P45,"✔")+COUNTIF($P$2:$P45,"☒")+COUNTIF($P$2:$P45,"X"),"")</f>
        <v/>
      </c>
    </row>
    <row r="46" spans="1:22" ht="14.15" customHeight="1" x14ac:dyDescent="0.25">
      <c r="A46" s="93" t="str">
        <f t="shared" si="4"/>
        <v/>
      </c>
      <c r="B46" s="45">
        <v>6.3</v>
      </c>
      <c r="C46" s="45" t="s">
        <v>112</v>
      </c>
      <c r="D46" s="45"/>
      <c r="E46" s="45"/>
      <c r="F46" s="45"/>
      <c r="G46" s="45"/>
      <c r="H46" s="45"/>
      <c r="I46" s="46"/>
      <c r="J46" s="46"/>
      <c r="K46" s="38"/>
      <c r="L46" s="46"/>
      <c r="M46" s="46"/>
      <c r="N46" s="45"/>
      <c r="O46" s="47"/>
      <c r="P46" s="74" t="b">
        <v>0</v>
      </c>
      <c r="Q46" s="46"/>
      <c r="R46" s="46"/>
      <c r="S46" s="38"/>
      <c r="T46" s="38"/>
      <c r="U46" s="94"/>
      <c r="V46" t="str">
        <f>IF(AND(OR($P46="☑",$P46=TRUE,$P46=1,$P46="Y",$P46="Yes",$P46="✔",$P46="☒",$P46="X"),$D46&lt;&gt;""),COUNTIF($P$2:$P46,"☑")+COUNTIF($P$2:$P46,TRUE)+COUNTIF($P$2:$P46,1)+COUNTIF($P$2:$P46,"Y")+COUNTIF($P$2:$P46,"Yes")+COUNTIF($P$2:$P46,"✔")+COUNTIF($P$2:$P46,"☒")+COUNTIF($P$2:$P46,"X"),"")</f>
        <v/>
      </c>
    </row>
    <row r="47" spans="1:22" ht="14.15" customHeight="1" x14ac:dyDescent="0.25">
      <c r="A47" s="93" t="str">
        <f t="shared" si="4"/>
        <v/>
      </c>
      <c r="B47" s="45">
        <v>6.4</v>
      </c>
      <c r="C47" s="45" t="s">
        <v>112</v>
      </c>
      <c r="D47" s="45"/>
      <c r="E47" s="45"/>
      <c r="F47" s="45"/>
      <c r="G47" s="45"/>
      <c r="H47" s="45"/>
      <c r="I47" s="46"/>
      <c r="J47" s="46"/>
      <c r="K47" s="38"/>
      <c r="L47" s="46"/>
      <c r="M47" s="46"/>
      <c r="N47" s="45"/>
      <c r="O47" s="47"/>
      <c r="P47" s="74" t="b">
        <v>0</v>
      </c>
      <c r="Q47" s="46"/>
      <c r="R47" s="46"/>
      <c r="S47" s="38"/>
      <c r="T47" s="38"/>
      <c r="U47" s="94"/>
      <c r="V47" t="str">
        <f>IF(AND(OR($P47="☑",$P47=TRUE,$P47=1,$P47="Y",$P47="Yes",$P47="✔",$P47="☒",$P47="X"),$D47&lt;&gt;""),COUNTIF($P$2:$P47,"☑")+COUNTIF($P$2:$P47,TRUE)+COUNTIF($P$2:$P47,1)+COUNTIF($P$2:$P47,"Y")+COUNTIF($P$2:$P47,"Yes")+COUNTIF($P$2:$P47,"✔")+COUNTIF($P$2:$P47,"☒")+COUNTIF($P$2:$P47,"X"),"")</f>
        <v/>
      </c>
    </row>
    <row r="48" spans="1:22" ht="14.15" customHeight="1" x14ac:dyDescent="0.25">
      <c r="A48" s="93" t="str">
        <f t="shared" si="4"/>
        <v/>
      </c>
      <c r="B48" s="45">
        <v>6.5</v>
      </c>
      <c r="C48" s="45" t="s">
        <v>112</v>
      </c>
      <c r="D48" s="45"/>
      <c r="E48" s="45"/>
      <c r="F48" s="45"/>
      <c r="G48" s="45"/>
      <c r="H48" s="45"/>
      <c r="I48" s="46"/>
      <c r="J48" s="46"/>
      <c r="K48" s="38"/>
      <c r="L48" s="46"/>
      <c r="M48" s="46"/>
      <c r="N48" s="45"/>
      <c r="O48" s="47"/>
      <c r="P48" s="74" t="b">
        <v>0</v>
      </c>
      <c r="Q48" s="46"/>
      <c r="R48" s="46"/>
      <c r="S48" s="38"/>
      <c r="T48" s="38"/>
      <c r="U48" s="94"/>
      <c r="V48" t="str">
        <f>IF(AND(OR($P48="☑",$P48=TRUE,$P48=1,$P48="Y",$P48="Yes",$P48="✔",$P48="☒",$P48="X"),$D48&lt;&gt;""),COUNTIF($P$2:$P48,"☑")+COUNTIF($P$2:$P48,TRUE)+COUNTIF($P$2:$P48,1)+COUNTIF($P$2:$P48,"Y")+COUNTIF($P$2:$P48,"Yes")+COUNTIF($P$2:$P48,"✔")+COUNTIF($P$2:$P48,"☒")+COUNTIF($P$2:$P48,"X"),"")</f>
        <v/>
      </c>
    </row>
    <row r="49" spans="1:22" ht="14.15" customHeight="1" x14ac:dyDescent="0.25">
      <c r="A49" s="93" t="str">
        <f t="shared" si="4"/>
        <v/>
      </c>
      <c r="B49" s="45">
        <v>6.6</v>
      </c>
      <c r="C49" s="45" t="s">
        <v>118</v>
      </c>
      <c r="D49" s="45"/>
      <c r="E49" s="45"/>
      <c r="F49" s="45"/>
      <c r="G49" s="45"/>
      <c r="H49" s="45"/>
      <c r="I49" s="46"/>
      <c r="J49" s="46"/>
      <c r="K49" s="38"/>
      <c r="L49" s="46"/>
      <c r="M49" s="46"/>
      <c r="N49" s="45"/>
      <c r="O49" s="47"/>
      <c r="P49" s="74" t="b">
        <v>0</v>
      </c>
      <c r="Q49" s="46"/>
      <c r="R49" s="46"/>
      <c r="S49" s="38"/>
      <c r="T49" s="38"/>
      <c r="U49" s="94"/>
      <c r="V49" t="str">
        <f>IF(AND(OR($P49="☑",$P49=TRUE,$P49=1,$P49="Y",$P49="Yes",$P49="✔",$P49="☒",$P49="X"),$D49&lt;&gt;""),COUNTIF($P$2:$P49,"☑")+COUNTIF($P$2:$P49,TRUE)+COUNTIF($P$2:$P49,1)+COUNTIF($P$2:$P49,"Y")+COUNTIF($P$2:$P49,"Yes")+COUNTIF($P$2:$P49,"✔")+COUNTIF($P$2:$P49,"☒")+COUNTIF($P$2:$P49,"X"),"")</f>
        <v/>
      </c>
    </row>
    <row r="50" spans="1:22" ht="14.15" customHeight="1" x14ac:dyDescent="0.25">
      <c r="A50" s="93" t="str">
        <f t="shared" si="4"/>
        <v/>
      </c>
      <c r="B50" s="45">
        <v>7</v>
      </c>
      <c r="C50" s="45" t="s">
        <v>98</v>
      </c>
      <c r="D50" s="45"/>
      <c r="E50" s="45"/>
      <c r="F50" s="45"/>
      <c r="G50" s="45"/>
      <c r="H50" s="45"/>
      <c r="I50" s="46"/>
      <c r="J50" s="46"/>
      <c r="K50" s="38"/>
      <c r="L50" s="46"/>
      <c r="M50" s="46"/>
      <c r="N50" s="45"/>
      <c r="O50" s="47"/>
      <c r="P50" s="74" t="b">
        <v>0</v>
      </c>
      <c r="Q50" s="46"/>
      <c r="R50" s="46"/>
      <c r="S50" s="38"/>
      <c r="T50" s="38"/>
      <c r="U50" s="94"/>
      <c r="V50" t="str">
        <f>IF(AND(OR($P50="☑",$P50=TRUE,$P50=1,$P50="Y",$P50="Yes",$P50="✔",$P50="☒",$P50="X"),$D50&lt;&gt;""),COUNTIF($P$2:$P50,"☑")+COUNTIF($P$2:$P50,TRUE)+COUNTIF($P$2:$P50,1)+COUNTIF($P$2:$P50,"Y")+COUNTIF($P$2:$P50,"Yes")+COUNTIF($P$2:$P50,"✔")+COUNTIF($P$2:$P50,"☒")+COUNTIF($P$2:$P50,"X"),"")</f>
        <v/>
      </c>
    </row>
    <row r="51" spans="1:22" ht="14.15" customHeight="1" x14ac:dyDescent="0.25">
      <c r="A51" s="93" t="str">
        <f t="shared" si="4"/>
        <v/>
      </c>
      <c r="B51" s="45">
        <v>7.1</v>
      </c>
      <c r="C51" s="45" t="s">
        <v>98</v>
      </c>
      <c r="D51" s="45"/>
      <c r="E51" s="45"/>
      <c r="F51" s="45"/>
      <c r="G51" s="45"/>
      <c r="H51" s="45"/>
      <c r="I51" s="46"/>
      <c r="J51" s="46"/>
      <c r="K51" s="38"/>
      <c r="L51" s="46"/>
      <c r="M51" s="46"/>
      <c r="N51" s="45"/>
      <c r="O51" s="47"/>
      <c r="P51" s="74" t="b">
        <v>0</v>
      </c>
      <c r="Q51" s="46"/>
      <c r="R51" s="46"/>
      <c r="S51" s="38"/>
      <c r="T51" s="38"/>
      <c r="U51" s="94"/>
      <c r="V51" t="str">
        <f>IF(AND(OR($P51="☑",$P51=TRUE,$P51=1,$P51="Y",$P51="Yes",$P51="✔",$P51="☒",$P51="X"),$D51&lt;&gt;""),COUNTIF($P$2:$P51,"☑")+COUNTIF($P$2:$P51,TRUE)+COUNTIF($P$2:$P51,1)+COUNTIF($P$2:$P51,"Y")+COUNTIF($P$2:$P51,"Yes")+COUNTIF($P$2:$P51,"✔")+COUNTIF($P$2:$P51,"☒")+COUNTIF($P$2:$P51,"X"),"")</f>
        <v/>
      </c>
    </row>
    <row r="52" spans="1:22" ht="14.15" customHeight="1" x14ac:dyDescent="0.25">
      <c r="A52" s="93" t="str">
        <f t="shared" ref="A52:A65" si="5">IF(D52="","","T-"&amp;TEXT(ROW()-1,"000"))</f>
        <v/>
      </c>
      <c r="B52" s="45"/>
      <c r="C52" s="45"/>
      <c r="D52" s="45"/>
      <c r="E52" s="45"/>
      <c r="F52" s="45"/>
      <c r="G52" s="45"/>
      <c r="H52" s="45"/>
      <c r="I52" s="46"/>
      <c r="J52" s="46"/>
      <c r="K52" s="38" t="str">
        <f t="shared" ref="K52:K65" si="6">IF(OR(I52="",J52=""),"",J52-I52+1)</f>
        <v/>
      </c>
      <c r="L52" s="46"/>
      <c r="M52" s="46"/>
      <c r="N52" s="45"/>
      <c r="O52" s="47"/>
      <c r="P52" s="74" t="b">
        <v>0</v>
      </c>
      <c r="Q52" s="46"/>
      <c r="R52" s="46"/>
      <c r="S52" s="38" t="str">
        <f t="shared" si="2"/>
        <v/>
      </c>
      <c r="T52" s="38" t="str">
        <f t="shared" ca="1" si="3"/>
        <v/>
      </c>
      <c r="U52" s="94"/>
      <c r="V52" t="str">
        <f>IF(AND(OR($P52="☑",$P52=TRUE,$P52=1,$P52="Y",$P52="Yes",$P52="✔",$P52="☒",$P52="X"),$D52&lt;&gt;""),COUNTIF($P$2:$P52,"☑")+COUNTIF($P$2:$P52,TRUE)+COUNTIF($P$2:$P52,1)+COUNTIF($P$2:$P52,"Y")+COUNTIF($P$2:$P52,"Yes")+COUNTIF($P$2:$P52,"✔")+COUNTIF($P$2:$P52,"☒")+COUNTIF($P$2:$P52,"X"),"")</f>
        <v/>
      </c>
    </row>
    <row r="53" spans="1:22" ht="14.15" customHeight="1" x14ac:dyDescent="0.25">
      <c r="A53" s="93" t="str">
        <f t="shared" si="5"/>
        <v/>
      </c>
      <c r="B53" s="45"/>
      <c r="C53" s="45"/>
      <c r="D53" s="45"/>
      <c r="E53" s="45"/>
      <c r="F53" s="45"/>
      <c r="G53" s="45"/>
      <c r="H53" s="45"/>
      <c r="I53" s="46"/>
      <c r="J53" s="46"/>
      <c r="K53" s="38" t="str">
        <f t="shared" si="6"/>
        <v/>
      </c>
      <c r="L53" s="46"/>
      <c r="M53" s="46"/>
      <c r="N53" s="45"/>
      <c r="O53" s="47"/>
      <c r="P53" s="74" t="b">
        <v>0</v>
      </c>
      <c r="Q53" s="46"/>
      <c r="R53" s="46"/>
      <c r="S53" s="38" t="str">
        <f t="shared" si="2"/>
        <v/>
      </c>
      <c r="T53" s="38" t="str">
        <f t="shared" ca="1" si="3"/>
        <v/>
      </c>
      <c r="U53" s="94"/>
      <c r="V53" t="str">
        <f>IF(AND(OR($P53="☑",$P53=TRUE,$P53=1,$P53="Y",$P53="Yes",$P53="✔",$P53="☒",$P53="X"),$D53&lt;&gt;""),COUNTIF($P$2:$P53,"☑")+COUNTIF($P$2:$P53,TRUE)+COUNTIF($P$2:$P53,1)+COUNTIF($P$2:$P53,"Y")+COUNTIF($P$2:$P53,"Yes")+COUNTIF($P$2:$P53,"✔")+COUNTIF($P$2:$P53,"☒")+COUNTIF($P$2:$P53,"X"),"")</f>
        <v/>
      </c>
    </row>
    <row r="54" spans="1:22" ht="14.15" customHeight="1" x14ac:dyDescent="0.25">
      <c r="A54" s="93" t="str">
        <f t="shared" si="5"/>
        <v/>
      </c>
      <c r="B54" s="45"/>
      <c r="C54" s="45"/>
      <c r="D54" s="45"/>
      <c r="E54" s="45"/>
      <c r="F54" s="45"/>
      <c r="G54" s="45"/>
      <c r="H54" s="45"/>
      <c r="I54" s="46"/>
      <c r="J54" s="46"/>
      <c r="K54" s="38" t="str">
        <f t="shared" si="6"/>
        <v/>
      </c>
      <c r="L54" s="46"/>
      <c r="M54" s="46"/>
      <c r="N54" s="45"/>
      <c r="O54" s="47"/>
      <c r="P54" s="74" t="b">
        <v>0</v>
      </c>
      <c r="Q54" s="46"/>
      <c r="R54" s="46"/>
      <c r="S54" s="38" t="str">
        <f t="shared" si="2"/>
        <v/>
      </c>
      <c r="T54" s="38" t="str">
        <f t="shared" ca="1" si="3"/>
        <v/>
      </c>
      <c r="U54" s="94"/>
      <c r="V54" t="str">
        <f>IF(AND(OR($P54="☑",$P54=TRUE,$P54=1,$P54="Y",$P54="Yes",$P54="✔",$P54="☒",$P54="X"),$D54&lt;&gt;""),COUNTIF($P$2:$P54,"☑")+COUNTIF($P$2:$P54,TRUE)+COUNTIF($P$2:$P54,1)+COUNTIF($P$2:$P54,"Y")+COUNTIF($P$2:$P54,"Yes")+COUNTIF($P$2:$P54,"✔")+COUNTIF($P$2:$P54,"☒")+COUNTIF($P$2:$P54,"X"),"")</f>
        <v/>
      </c>
    </row>
    <row r="55" spans="1:22" ht="14.15" customHeight="1" x14ac:dyDescent="0.25">
      <c r="A55" s="93" t="str">
        <f t="shared" si="5"/>
        <v/>
      </c>
      <c r="B55" s="45"/>
      <c r="C55" s="45"/>
      <c r="D55" s="45"/>
      <c r="E55" s="45"/>
      <c r="F55" s="45"/>
      <c r="G55" s="45"/>
      <c r="H55" s="45"/>
      <c r="I55" s="46"/>
      <c r="J55" s="46"/>
      <c r="K55" s="38" t="str">
        <f t="shared" si="6"/>
        <v/>
      </c>
      <c r="L55" s="46"/>
      <c r="M55" s="46"/>
      <c r="N55" s="45"/>
      <c r="O55" s="47"/>
      <c r="P55" s="74" t="b">
        <v>0</v>
      </c>
      <c r="Q55" s="46"/>
      <c r="R55" s="46"/>
      <c r="S55" s="38" t="str">
        <f t="shared" ref="S55:S65" si="7">IF(A55="","",IF(OR(R55="",J55=""),"",IF(M55&lt;&gt;"",M55-R55,J55-R55)))</f>
        <v/>
      </c>
      <c r="T55" s="38" t="str">
        <f t="shared" ref="T55:T65" ca="1" si="8">IF(A55="","",IF(N55="Completed","Green",IF(AND(J55&lt;&gt;"",TODAY()&gt;J55),"Red",IF(AND(J55&lt;&gt;"",TODAY()+3&gt;=J55),"Amber","Green"))))</f>
        <v/>
      </c>
      <c r="U55" s="94"/>
      <c r="V55" t="str">
        <f>IF(AND(OR($P55="☑",$P55=TRUE,$P55=1,$P55="Y",$P55="Yes",$P55="✔",$P55="☒",$P55="X"),$D55&lt;&gt;""),COUNTIF($P$2:$P55,"☑")+COUNTIF($P$2:$P55,TRUE)+COUNTIF($P$2:$P55,1)+COUNTIF($P$2:$P55,"Y")+COUNTIF($P$2:$P55,"Yes")+COUNTIF($P$2:$P55,"✔")+COUNTIF($P$2:$P55,"☒")+COUNTIF($P$2:$P55,"X"),"")</f>
        <v/>
      </c>
    </row>
    <row r="56" spans="1:22" ht="14.15" customHeight="1" x14ac:dyDescent="0.25">
      <c r="A56" s="93" t="str">
        <f t="shared" si="5"/>
        <v/>
      </c>
      <c r="B56" s="45"/>
      <c r="C56" s="45"/>
      <c r="D56" s="45"/>
      <c r="E56" s="45"/>
      <c r="F56" s="45"/>
      <c r="G56" s="45"/>
      <c r="H56" s="45"/>
      <c r="I56" s="46"/>
      <c r="J56" s="46"/>
      <c r="K56" s="38" t="str">
        <f t="shared" si="6"/>
        <v/>
      </c>
      <c r="L56" s="46"/>
      <c r="M56" s="46"/>
      <c r="N56" s="45"/>
      <c r="O56" s="47"/>
      <c r="P56" s="74" t="b">
        <v>0</v>
      </c>
      <c r="Q56" s="46"/>
      <c r="R56" s="46"/>
      <c r="S56" s="38" t="str">
        <f t="shared" si="7"/>
        <v/>
      </c>
      <c r="T56" s="38" t="str">
        <f t="shared" ca="1" si="8"/>
        <v/>
      </c>
      <c r="U56" s="94"/>
      <c r="V56" t="str">
        <f>IF(AND(OR($P56="☑",$P56=TRUE,$P56=1,$P56="Y",$P56="Yes",$P56="✔",$P56="☒",$P56="X"),$D56&lt;&gt;""),COUNTIF($P$2:$P56,"☑")+COUNTIF($P$2:$P56,TRUE)+COUNTIF($P$2:$P56,1)+COUNTIF($P$2:$P56,"Y")+COUNTIF($P$2:$P56,"Yes")+COUNTIF($P$2:$P56,"✔")+COUNTIF($P$2:$P56,"☒")+COUNTIF($P$2:$P56,"X"),"")</f>
        <v/>
      </c>
    </row>
    <row r="57" spans="1:22" ht="14.15" customHeight="1" x14ac:dyDescent="0.25">
      <c r="A57" s="93" t="str">
        <f t="shared" si="5"/>
        <v/>
      </c>
      <c r="B57" s="45"/>
      <c r="C57" s="45"/>
      <c r="D57" s="45"/>
      <c r="E57" s="45"/>
      <c r="F57" s="45"/>
      <c r="G57" s="45"/>
      <c r="H57" s="45"/>
      <c r="I57" s="46"/>
      <c r="J57" s="46"/>
      <c r="K57" s="38" t="str">
        <f t="shared" si="6"/>
        <v/>
      </c>
      <c r="L57" s="46"/>
      <c r="M57" s="46"/>
      <c r="N57" s="45"/>
      <c r="O57" s="47"/>
      <c r="P57" s="74" t="b">
        <v>0</v>
      </c>
      <c r="Q57" s="46"/>
      <c r="R57" s="46"/>
      <c r="S57" s="38" t="str">
        <f t="shared" si="7"/>
        <v/>
      </c>
      <c r="T57" s="38" t="str">
        <f t="shared" ca="1" si="8"/>
        <v/>
      </c>
      <c r="U57" s="94"/>
      <c r="V57" t="str">
        <f>IF(AND(OR($P57="☑",$P57=TRUE,$P57=1,$P57="Y",$P57="Yes",$P57="✔",$P57="☒",$P57="X"),$D57&lt;&gt;""),COUNTIF($P$2:$P57,"☑")+COUNTIF($P$2:$P57,TRUE)+COUNTIF($P$2:$P57,1)+COUNTIF($P$2:$P57,"Y")+COUNTIF($P$2:$P57,"Yes")+COUNTIF($P$2:$P57,"✔")+COUNTIF($P$2:$P57,"☒")+COUNTIF($P$2:$P57,"X"),"")</f>
        <v/>
      </c>
    </row>
    <row r="58" spans="1:22" ht="14.15" customHeight="1" x14ac:dyDescent="0.25">
      <c r="A58" s="93" t="str">
        <f t="shared" si="5"/>
        <v/>
      </c>
      <c r="B58" s="45"/>
      <c r="C58" s="45"/>
      <c r="D58" s="45"/>
      <c r="E58" s="45"/>
      <c r="F58" s="45"/>
      <c r="G58" s="45"/>
      <c r="H58" s="45"/>
      <c r="I58" s="46"/>
      <c r="J58" s="46"/>
      <c r="K58" s="38" t="str">
        <f t="shared" si="6"/>
        <v/>
      </c>
      <c r="L58" s="46"/>
      <c r="M58" s="46"/>
      <c r="N58" s="45"/>
      <c r="O58" s="47"/>
      <c r="P58" s="74" t="b">
        <v>0</v>
      </c>
      <c r="Q58" s="46"/>
      <c r="R58" s="46"/>
      <c r="S58" s="38" t="str">
        <f t="shared" si="7"/>
        <v/>
      </c>
      <c r="T58" s="38" t="str">
        <f t="shared" ca="1" si="8"/>
        <v/>
      </c>
      <c r="U58" s="94"/>
      <c r="V58" t="str">
        <f>IF(AND(OR($P58="☑",$P58=TRUE,$P58=1,$P58="Y",$P58="Yes",$P58="✔",$P58="☒",$P58="X"),$D58&lt;&gt;""),COUNTIF($P$2:$P58,"☑")+COUNTIF($P$2:$P58,TRUE)+COUNTIF($P$2:$P58,1)+COUNTIF($P$2:$P58,"Y")+COUNTIF($P$2:$P58,"Yes")+COUNTIF($P$2:$P58,"✔")+COUNTIF($P$2:$P58,"☒")+COUNTIF($P$2:$P58,"X"),"")</f>
        <v/>
      </c>
    </row>
    <row r="59" spans="1:22" ht="14.15" customHeight="1" x14ac:dyDescent="0.25">
      <c r="A59" s="93" t="str">
        <f t="shared" si="5"/>
        <v/>
      </c>
      <c r="B59" s="45"/>
      <c r="C59" s="45"/>
      <c r="D59" s="45"/>
      <c r="E59" s="45"/>
      <c r="F59" s="45"/>
      <c r="G59" s="45"/>
      <c r="H59" s="45"/>
      <c r="I59" s="46"/>
      <c r="J59" s="46"/>
      <c r="K59" s="38" t="str">
        <f t="shared" si="6"/>
        <v/>
      </c>
      <c r="L59" s="46"/>
      <c r="M59" s="46"/>
      <c r="N59" s="45"/>
      <c r="O59" s="47"/>
      <c r="P59" s="74" t="b">
        <v>0</v>
      </c>
      <c r="Q59" s="46"/>
      <c r="R59" s="46"/>
      <c r="S59" s="38" t="str">
        <f t="shared" si="7"/>
        <v/>
      </c>
      <c r="T59" s="38" t="str">
        <f t="shared" ca="1" si="8"/>
        <v/>
      </c>
      <c r="U59" s="94"/>
      <c r="V59" t="str">
        <f>IF(AND(OR($P59="☑",$P59=TRUE,$P59=1,$P59="Y",$P59="Yes",$P59="✔",$P59="☒",$P59="X"),$D59&lt;&gt;""),COUNTIF($P$2:$P59,"☑")+COUNTIF($P$2:$P59,TRUE)+COUNTIF($P$2:$P59,1)+COUNTIF($P$2:$P59,"Y")+COUNTIF($P$2:$P59,"Yes")+COUNTIF($P$2:$P59,"✔")+COUNTIF($P$2:$P59,"☒")+COUNTIF($P$2:$P59,"X"),"")</f>
        <v/>
      </c>
    </row>
    <row r="60" spans="1:22" ht="14.15" customHeight="1" x14ac:dyDescent="0.25">
      <c r="A60" s="93" t="str">
        <f t="shared" si="5"/>
        <v/>
      </c>
      <c r="B60" s="45"/>
      <c r="C60" s="45"/>
      <c r="D60" s="45"/>
      <c r="E60" s="45"/>
      <c r="F60" s="45"/>
      <c r="G60" s="45"/>
      <c r="H60" s="45"/>
      <c r="I60" s="46"/>
      <c r="J60" s="46"/>
      <c r="K60" s="38" t="str">
        <f t="shared" si="6"/>
        <v/>
      </c>
      <c r="L60" s="46"/>
      <c r="M60" s="46"/>
      <c r="N60" s="45"/>
      <c r="O60" s="47"/>
      <c r="P60" s="74" t="b">
        <v>0</v>
      </c>
      <c r="Q60" s="46"/>
      <c r="R60" s="46"/>
      <c r="S60" s="38" t="str">
        <f t="shared" si="7"/>
        <v/>
      </c>
      <c r="T60" s="38" t="str">
        <f t="shared" ca="1" si="8"/>
        <v/>
      </c>
      <c r="U60" s="94"/>
      <c r="V60" t="str">
        <f>IF(AND(OR($P60="☑",$P60=TRUE,$P60=1,$P60="Y",$P60="Yes",$P60="✔",$P60="☒",$P60="X"),$D60&lt;&gt;""),COUNTIF($P$2:$P60,"☑")+COUNTIF($P$2:$P60,TRUE)+COUNTIF($P$2:$P60,1)+COUNTIF($P$2:$P60,"Y")+COUNTIF($P$2:$P60,"Yes")+COUNTIF($P$2:$P60,"✔")+COUNTIF($P$2:$P60,"☒")+COUNTIF($P$2:$P60,"X"),"")</f>
        <v/>
      </c>
    </row>
    <row r="61" spans="1:22" ht="14.15" customHeight="1" x14ac:dyDescent="0.25">
      <c r="A61" s="93" t="str">
        <f t="shared" si="5"/>
        <v/>
      </c>
      <c r="B61" s="45"/>
      <c r="C61" s="45"/>
      <c r="D61" s="45"/>
      <c r="E61" s="45"/>
      <c r="F61" s="45"/>
      <c r="G61" s="45"/>
      <c r="H61" s="45"/>
      <c r="I61" s="46"/>
      <c r="J61" s="46"/>
      <c r="K61" s="38" t="str">
        <f t="shared" si="6"/>
        <v/>
      </c>
      <c r="L61" s="46"/>
      <c r="M61" s="46"/>
      <c r="N61" s="45"/>
      <c r="O61" s="47"/>
      <c r="P61" s="74" t="b">
        <v>0</v>
      </c>
      <c r="Q61" s="46"/>
      <c r="R61" s="46"/>
      <c r="S61" s="38" t="str">
        <f t="shared" si="7"/>
        <v/>
      </c>
      <c r="T61" s="38" t="str">
        <f t="shared" ca="1" si="8"/>
        <v/>
      </c>
      <c r="U61" s="94"/>
      <c r="V61" t="str">
        <f>IF(AND(OR($P61="☑",$P61=TRUE,$P61=1,$P61="Y",$P61="Yes",$P61="✔",$P61="☒",$P61="X"),$D61&lt;&gt;""),COUNTIF($P$2:$P61,"☑")+COUNTIF($P$2:$P61,TRUE)+COUNTIF($P$2:$P61,1)+COUNTIF($P$2:$P61,"Y")+COUNTIF($P$2:$P61,"Yes")+COUNTIF($P$2:$P61,"✔")+COUNTIF($P$2:$P61,"☒")+COUNTIF($P$2:$P61,"X"),"")</f>
        <v/>
      </c>
    </row>
    <row r="62" spans="1:22" ht="14.15" customHeight="1" x14ac:dyDescent="0.25">
      <c r="A62" s="93" t="str">
        <f t="shared" si="5"/>
        <v/>
      </c>
      <c r="B62" s="45"/>
      <c r="C62" s="45"/>
      <c r="D62" s="45"/>
      <c r="E62" s="45"/>
      <c r="F62" s="45"/>
      <c r="G62" s="45"/>
      <c r="H62" s="45"/>
      <c r="I62" s="46"/>
      <c r="J62" s="46"/>
      <c r="K62" s="38" t="str">
        <f t="shared" si="6"/>
        <v/>
      </c>
      <c r="L62" s="46"/>
      <c r="M62" s="46"/>
      <c r="N62" s="45"/>
      <c r="O62" s="47"/>
      <c r="P62" s="74" t="b">
        <v>0</v>
      </c>
      <c r="Q62" s="46"/>
      <c r="R62" s="46"/>
      <c r="S62" s="38" t="str">
        <f t="shared" si="7"/>
        <v/>
      </c>
      <c r="T62" s="38" t="str">
        <f t="shared" ca="1" si="8"/>
        <v/>
      </c>
      <c r="U62" s="94"/>
      <c r="V62" t="str">
        <f>IF(AND(OR($P62="☑",$P62=TRUE,$P62=1,$P62="Y",$P62="Yes",$P62="✔",$P62="☒",$P62="X"),$D62&lt;&gt;""),COUNTIF($P$2:$P62,"☑")+COUNTIF($P$2:$P62,TRUE)+COUNTIF($P$2:$P62,1)+COUNTIF($P$2:$P62,"Y")+COUNTIF($P$2:$P62,"Yes")+COUNTIF($P$2:$P62,"✔")+COUNTIF($P$2:$P62,"☒")+COUNTIF($P$2:$P62,"X"),"")</f>
        <v/>
      </c>
    </row>
    <row r="63" spans="1:22" ht="14.15" customHeight="1" x14ac:dyDescent="0.25">
      <c r="A63" s="93" t="str">
        <f t="shared" si="5"/>
        <v/>
      </c>
      <c r="B63" s="45"/>
      <c r="C63" s="45"/>
      <c r="D63" s="45"/>
      <c r="E63" s="45"/>
      <c r="F63" s="45"/>
      <c r="G63" s="45"/>
      <c r="H63" s="45"/>
      <c r="I63" s="46"/>
      <c r="J63" s="46"/>
      <c r="K63" s="38" t="str">
        <f t="shared" si="6"/>
        <v/>
      </c>
      <c r="L63" s="46"/>
      <c r="M63" s="46"/>
      <c r="N63" s="45"/>
      <c r="O63" s="47"/>
      <c r="P63" s="74" t="b">
        <v>0</v>
      </c>
      <c r="Q63" s="46"/>
      <c r="R63" s="46"/>
      <c r="S63" s="38" t="str">
        <f t="shared" si="7"/>
        <v/>
      </c>
      <c r="T63" s="38" t="str">
        <f t="shared" ca="1" si="8"/>
        <v/>
      </c>
      <c r="U63" s="94"/>
      <c r="V63" t="str">
        <f>IF(AND(OR($P63="☑",$P63=TRUE,$P63=1,$P63="Y",$P63="Yes",$P63="✔",$P63="☒",$P63="X"),$D63&lt;&gt;""),COUNTIF($P$2:$P63,"☑")+COUNTIF($P$2:$P63,TRUE)+COUNTIF($P$2:$P63,1)+COUNTIF($P$2:$P63,"Y")+COUNTIF($P$2:$P63,"Yes")+COUNTIF($P$2:$P63,"✔")+COUNTIF($P$2:$P63,"☒")+COUNTIF($P$2:$P63,"X"),"")</f>
        <v/>
      </c>
    </row>
    <row r="64" spans="1:22" ht="14.15" customHeight="1" x14ac:dyDescent="0.25">
      <c r="A64" s="93" t="str">
        <f t="shared" si="5"/>
        <v/>
      </c>
      <c r="B64" s="45"/>
      <c r="C64" s="45"/>
      <c r="D64" s="45"/>
      <c r="E64" s="45"/>
      <c r="F64" s="45"/>
      <c r="G64" s="45"/>
      <c r="H64" s="45"/>
      <c r="I64" s="46"/>
      <c r="J64" s="46"/>
      <c r="K64" s="38" t="str">
        <f t="shared" si="6"/>
        <v/>
      </c>
      <c r="L64" s="46"/>
      <c r="M64" s="46"/>
      <c r="N64" s="45"/>
      <c r="O64" s="47"/>
      <c r="P64" s="74" t="b">
        <v>0</v>
      </c>
      <c r="Q64" s="46"/>
      <c r="R64" s="46"/>
      <c r="S64" s="38" t="str">
        <f t="shared" si="7"/>
        <v/>
      </c>
      <c r="T64" s="38" t="str">
        <f t="shared" ca="1" si="8"/>
        <v/>
      </c>
      <c r="U64" s="94"/>
      <c r="V64" t="str">
        <f>IF(AND(OR($P64="☑",$P64=TRUE,$P64=1,$P64="Y",$P64="Yes",$P64="✔",$P64="☒",$P64="X"),$D64&lt;&gt;""),COUNTIF($P$2:$P64,"☑")+COUNTIF($P$2:$P64,TRUE)+COUNTIF($P$2:$P64,1)+COUNTIF($P$2:$P64,"Y")+COUNTIF($P$2:$P64,"Yes")+COUNTIF($P$2:$P64,"✔")+COUNTIF($P$2:$P64,"☒")+COUNTIF($P$2:$P64,"X"),"")</f>
        <v/>
      </c>
    </row>
    <row r="65" spans="1:22" ht="14.15" customHeight="1" x14ac:dyDescent="0.25">
      <c r="A65" s="93" t="str">
        <f t="shared" si="5"/>
        <v/>
      </c>
      <c r="B65" s="45"/>
      <c r="C65" s="45"/>
      <c r="D65" s="45"/>
      <c r="E65" s="45"/>
      <c r="F65" s="45"/>
      <c r="G65" s="45"/>
      <c r="H65" s="45"/>
      <c r="I65" s="46"/>
      <c r="J65" s="46"/>
      <c r="K65" s="38" t="str">
        <f t="shared" si="6"/>
        <v/>
      </c>
      <c r="L65" s="46"/>
      <c r="M65" s="46"/>
      <c r="N65" s="45"/>
      <c r="O65" s="47"/>
      <c r="P65" s="74" t="b">
        <v>0</v>
      </c>
      <c r="Q65" s="46"/>
      <c r="R65" s="46"/>
      <c r="S65" s="38" t="str">
        <f t="shared" si="7"/>
        <v/>
      </c>
      <c r="T65" s="38" t="str">
        <f t="shared" ca="1" si="8"/>
        <v/>
      </c>
      <c r="U65" s="94"/>
      <c r="V65" t="str">
        <f>IF(AND(OR($P65="☑",$P65=TRUE,$P65=1,$P65="Y",$P65="Yes",$P65="✔",$P65="☒",$P65="X"),$D65&lt;&gt;""),COUNTIF($P$2:$P65,"☑")+COUNTIF($P$2:$P65,TRUE)+COUNTIF($P$2:$P65,1)+COUNTIF($P$2:$P65,"Y")+COUNTIF($P$2:$P65,"Yes")+COUNTIF($P$2:$P65,"✔")+COUNTIF($P$2:$P65,"☒")+COUNTIF($P$2:$P65,"X"),"")</f>
        <v/>
      </c>
    </row>
    <row r="66" spans="1:22" ht="14.15" customHeight="1" x14ac:dyDescent="0.25">
      <c r="A66" s="93" t="str">
        <f t="shared" ref="A66:A97" si="9">IF(D66="","","T-"&amp;TEXT(ROW()-1,"000"))</f>
        <v/>
      </c>
      <c r="B66" s="45"/>
      <c r="C66" s="45"/>
      <c r="D66" s="45"/>
      <c r="E66" s="45"/>
      <c r="F66" s="45"/>
      <c r="G66" s="45"/>
      <c r="H66" s="45"/>
      <c r="I66" s="46"/>
      <c r="J66" s="46"/>
      <c r="K66" s="38" t="str">
        <f t="shared" ref="K66:K97" si="10">IF(OR(I66="",J66=""),"",J66-I66+1)</f>
        <v/>
      </c>
      <c r="L66" s="46"/>
      <c r="M66" s="46"/>
      <c r="N66" s="45"/>
      <c r="O66" s="47"/>
      <c r="P66" s="74" t="b">
        <v>0</v>
      </c>
      <c r="Q66" s="46"/>
      <c r="R66" s="46"/>
      <c r="S66" s="38" t="str">
        <f t="shared" ref="S66:S97" si="11">IF(A66="","",IF(OR(R66="",J66=""),"",IF(M66&lt;&gt;"",M66-R66,J66-R66)))</f>
        <v/>
      </c>
      <c r="T66" s="38" t="str">
        <f t="shared" ref="T66:T97" ca="1" si="12">IF(A66="","",IF(N66="Completed","Green",IF(AND(J66&lt;&gt;"",TODAY()&gt;J66),"Red",IF(AND(J66&lt;&gt;"",TODAY()+3&gt;=J66),"Amber","Green"))))</f>
        <v/>
      </c>
      <c r="U66" s="94"/>
      <c r="V66" t="str">
        <f>IF(AND(OR($P66="☑",$P66=TRUE,$P66=1,$P66="Y",$P66="Yes",$P66="✔",$P66="☒",$P66="X"),$D66&lt;&gt;""),COUNTIF($P$2:$P66,"☑")+COUNTIF($P$2:$P66,TRUE)+COUNTIF($P$2:$P66,1)+COUNTIF($P$2:$P66,"Y")+COUNTIF($P$2:$P66,"Yes")+COUNTIF($P$2:$P66,"✔")+COUNTIF($P$2:$P66,"☒")+COUNTIF($P$2:$P66,"X"),"")</f>
        <v/>
      </c>
    </row>
    <row r="67" spans="1:22" ht="14.15" customHeight="1" x14ac:dyDescent="0.25">
      <c r="A67" s="93" t="str">
        <f t="shared" si="9"/>
        <v/>
      </c>
      <c r="B67" s="45"/>
      <c r="C67" s="45"/>
      <c r="D67" s="45"/>
      <c r="E67" s="45"/>
      <c r="F67" s="45"/>
      <c r="G67" s="45"/>
      <c r="H67" s="45"/>
      <c r="I67" s="46"/>
      <c r="J67" s="46"/>
      <c r="K67" s="38" t="str">
        <f t="shared" si="10"/>
        <v/>
      </c>
      <c r="L67" s="46"/>
      <c r="M67" s="46"/>
      <c r="N67" s="45"/>
      <c r="O67" s="47"/>
      <c r="P67" s="74" t="b">
        <v>0</v>
      </c>
      <c r="Q67" s="46"/>
      <c r="R67" s="46"/>
      <c r="S67" s="38" t="str">
        <f t="shared" si="11"/>
        <v/>
      </c>
      <c r="T67" s="38" t="str">
        <f t="shared" ca="1" si="12"/>
        <v/>
      </c>
      <c r="U67" s="94"/>
      <c r="V67" t="str">
        <f>IF(AND(OR($P67="☑",$P67=TRUE,$P67=1,$P67="Y",$P67="Yes",$P67="✔",$P67="☒",$P67="X"),$D67&lt;&gt;""),COUNTIF($P$2:$P67,"☑")+COUNTIF($P$2:$P67,TRUE)+COUNTIF($P$2:$P67,1)+COUNTIF($P$2:$P67,"Y")+COUNTIF($P$2:$P67,"Yes")+COUNTIF($P$2:$P67,"✔")+COUNTIF($P$2:$P67,"☒")+COUNTIF($P$2:$P67,"X"),"")</f>
        <v/>
      </c>
    </row>
    <row r="68" spans="1:22" ht="14.15" customHeight="1" x14ac:dyDescent="0.25">
      <c r="A68" s="93" t="str">
        <f t="shared" si="9"/>
        <v/>
      </c>
      <c r="B68" s="45"/>
      <c r="C68" s="45"/>
      <c r="D68" s="45"/>
      <c r="E68" s="45"/>
      <c r="F68" s="45"/>
      <c r="G68" s="45"/>
      <c r="H68" s="45"/>
      <c r="I68" s="46"/>
      <c r="J68" s="46"/>
      <c r="K68" s="38" t="str">
        <f t="shared" si="10"/>
        <v/>
      </c>
      <c r="L68" s="46"/>
      <c r="M68" s="46"/>
      <c r="N68" s="45"/>
      <c r="O68" s="47"/>
      <c r="P68" s="74" t="b">
        <v>0</v>
      </c>
      <c r="Q68" s="46"/>
      <c r="R68" s="46"/>
      <c r="S68" s="38" t="str">
        <f t="shared" si="11"/>
        <v/>
      </c>
      <c r="T68" s="38" t="str">
        <f t="shared" ca="1" si="12"/>
        <v/>
      </c>
      <c r="U68" s="94"/>
      <c r="V68" t="str">
        <f>IF(AND(OR($P68="☑",$P68=TRUE,$P68=1,$P68="Y",$P68="Yes",$P68="✔",$P68="☒",$P68="X"),$D68&lt;&gt;""),COUNTIF($P$2:$P68,"☑")+COUNTIF($P$2:$P68,TRUE)+COUNTIF($P$2:$P68,1)+COUNTIF($P$2:$P68,"Y")+COUNTIF($P$2:$P68,"Yes")+COUNTIF($P$2:$P68,"✔")+COUNTIF($P$2:$P68,"☒")+COUNTIF($P$2:$P68,"X"),"")</f>
        <v/>
      </c>
    </row>
    <row r="69" spans="1:22" ht="14.15" customHeight="1" x14ac:dyDescent="0.25">
      <c r="A69" s="93" t="str">
        <f t="shared" si="9"/>
        <v/>
      </c>
      <c r="B69" s="45"/>
      <c r="C69" s="45"/>
      <c r="D69" s="45"/>
      <c r="E69" s="45"/>
      <c r="F69" s="45"/>
      <c r="G69" s="45"/>
      <c r="H69" s="45"/>
      <c r="I69" s="46"/>
      <c r="J69" s="46"/>
      <c r="K69" s="38" t="str">
        <f t="shared" si="10"/>
        <v/>
      </c>
      <c r="L69" s="46"/>
      <c r="M69" s="46"/>
      <c r="N69" s="45"/>
      <c r="O69" s="47"/>
      <c r="P69" s="74" t="b">
        <v>0</v>
      </c>
      <c r="Q69" s="46"/>
      <c r="R69" s="46"/>
      <c r="S69" s="38" t="str">
        <f t="shared" si="11"/>
        <v/>
      </c>
      <c r="T69" s="38" t="str">
        <f t="shared" ca="1" si="12"/>
        <v/>
      </c>
      <c r="U69" s="94"/>
      <c r="V69" t="str">
        <f>IF(AND(OR($P69="☑",$P69=TRUE,$P69=1,$P69="Y",$P69="Yes",$P69="✔",$P69="☒",$P69="X"),$D69&lt;&gt;""),COUNTIF($P$2:$P69,"☑")+COUNTIF($P$2:$P69,TRUE)+COUNTIF($P$2:$P69,1)+COUNTIF($P$2:$P69,"Y")+COUNTIF($P$2:$P69,"Yes")+COUNTIF($P$2:$P69,"✔")+COUNTIF($P$2:$P69,"☒")+COUNTIF($P$2:$P69,"X"),"")</f>
        <v/>
      </c>
    </row>
    <row r="70" spans="1:22" ht="14.15" customHeight="1" x14ac:dyDescent="0.25">
      <c r="A70" s="93" t="str">
        <f t="shared" si="9"/>
        <v/>
      </c>
      <c r="B70" s="45"/>
      <c r="C70" s="45"/>
      <c r="D70" s="45"/>
      <c r="E70" s="45"/>
      <c r="F70" s="45"/>
      <c r="G70" s="45"/>
      <c r="H70" s="45"/>
      <c r="I70" s="46"/>
      <c r="J70" s="46"/>
      <c r="K70" s="38" t="str">
        <f t="shared" si="10"/>
        <v/>
      </c>
      <c r="L70" s="46"/>
      <c r="M70" s="46"/>
      <c r="N70" s="45"/>
      <c r="O70" s="47"/>
      <c r="P70" s="74" t="b">
        <v>0</v>
      </c>
      <c r="Q70" s="46"/>
      <c r="R70" s="46"/>
      <c r="S70" s="38" t="str">
        <f t="shared" si="11"/>
        <v/>
      </c>
      <c r="T70" s="38" t="str">
        <f t="shared" ca="1" si="12"/>
        <v/>
      </c>
      <c r="U70" s="94"/>
      <c r="V70" t="str">
        <f>IF(AND(OR($P70="☑",$P70=TRUE,$P70=1,$P70="Y",$P70="Yes",$P70="✔",$P70="☒",$P70="X"),$D70&lt;&gt;""),COUNTIF($P$2:$P70,"☑")+COUNTIF($P$2:$P70,TRUE)+COUNTIF($P$2:$P70,1)+COUNTIF($P$2:$P70,"Y")+COUNTIF($P$2:$P70,"Yes")+COUNTIF($P$2:$P70,"✔")+COUNTIF($P$2:$P70,"☒")+COUNTIF($P$2:$P70,"X"),"")</f>
        <v/>
      </c>
    </row>
    <row r="71" spans="1:22" ht="14.15" customHeight="1" x14ac:dyDescent="0.25">
      <c r="A71" s="93" t="str">
        <f t="shared" si="9"/>
        <v/>
      </c>
      <c r="B71" s="45"/>
      <c r="C71" s="45"/>
      <c r="D71" s="45"/>
      <c r="E71" s="45"/>
      <c r="F71" s="45"/>
      <c r="G71" s="45"/>
      <c r="H71" s="45"/>
      <c r="I71" s="46"/>
      <c r="J71" s="46"/>
      <c r="K71" s="38" t="str">
        <f t="shared" si="10"/>
        <v/>
      </c>
      <c r="L71" s="46"/>
      <c r="M71" s="46"/>
      <c r="N71" s="45"/>
      <c r="O71" s="47"/>
      <c r="P71" s="74" t="b">
        <v>0</v>
      </c>
      <c r="Q71" s="46"/>
      <c r="R71" s="46"/>
      <c r="S71" s="38" t="str">
        <f t="shared" si="11"/>
        <v/>
      </c>
      <c r="T71" s="38" t="str">
        <f t="shared" ca="1" si="12"/>
        <v/>
      </c>
      <c r="U71" s="94"/>
      <c r="V71" t="str">
        <f>IF(AND(OR($P71="☑",$P71=TRUE,$P71=1,$P71="Y",$P71="Yes",$P71="✔",$P71="☒",$P71="X"),$D71&lt;&gt;""),COUNTIF($P$2:$P71,"☑")+COUNTIF($P$2:$P71,TRUE)+COUNTIF($P$2:$P71,1)+COUNTIF($P$2:$P71,"Y")+COUNTIF($P$2:$P71,"Yes")+COUNTIF($P$2:$P71,"✔")+COUNTIF($P$2:$P71,"☒")+COUNTIF($P$2:$P71,"X"),"")</f>
        <v/>
      </c>
    </row>
    <row r="72" spans="1:22" ht="14.15" customHeight="1" x14ac:dyDescent="0.25">
      <c r="A72" s="93" t="str">
        <f t="shared" si="9"/>
        <v/>
      </c>
      <c r="B72" s="45"/>
      <c r="C72" s="45"/>
      <c r="D72" s="45"/>
      <c r="E72" s="45"/>
      <c r="F72" s="45"/>
      <c r="G72" s="45"/>
      <c r="H72" s="45"/>
      <c r="I72" s="46"/>
      <c r="J72" s="46"/>
      <c r="K72" s="38" t="str">
        <f t="shared" si="10"/>
        <v/>
      </c>
      <c r="L72" s="46"/>
      <c r="M72" s="46"/>
      <c r="N72" s="45"/>
      <c r="O72" s="47"/>
      <c r="P72" s="74" t="b">
        <v>0</v>
      </c>
      <c r="Q72" s="46"/>
      <c r="R72" s="46"/>
      <c r="S72" s="38" t="str">
        <f t="shared" si="11"/>
        <v/>
      </c>
      <c r="T72" s="38" t="str">
        <f t="shared" ca="1" si="12"/>
        <v/>
      </c>
      <c r="U72" s="94"/>
      <c r="V72" t="str">
        <f>IF(AND(OR($P72="☑",$P72=TRUE,$P72=1,$P72="Y",$P72="Yes",$P72="✔",$P72="☒",$P72="X"),$D72&lt;&gt;""),COUNTIF($P$2:$P72,"☑")+COUNTIF($P$2:$P72,TRUE)+COUNTIF($P$2:$P72,1)+COUNTIF($P$2:$P72,"Y")+COUNTIF($P$2:$P72,"Yes")+COUNTIF($P$2:$P72,"✔")+COUNTIF($P$2:$P72,"☒")+COUNTIF($P$2:$P72,"X"),"")</f>
        <v/>
      </c>
    </row>
    <row r="73" spans="1:22" ht="14.15" customHeight="1" x14ac:dyDescent="0.25">
      <c r="A73" s="93" t="str">
        <f t="shared" si="9"/>
        <v/>
      </c>
      <c r="B73" s="45"/>
      <c r="C73" s="45"/>
      <c r="D73" s="45"/>
      <c r="E73" s="45"/>
      <c r="F73" s="45"/>
      <c r="G73" s="45"/>
      <c r="H73" s="45"/>
      <c r="I73" s="46"/>
      <c r="J73" s="46"/>
      <c r="K73" s="38" t="str">
        <f t="shared" si="10"/>
        <v/>
      </c>
      <c r="L73" s="46"/>
      <c r="M73" s="46"/>
      <c r="N73" s="45"/>
      <c r="O73" s="47"/>
      <c r="P73" s="74" t="b">
        <v>0</v>
      </c>
      <c r="Q73" s="46"/>
      <c r="R73" s="46"/>
      <c r="S73" s="38" t="str">
        <f t="shared" si="11"/>
        <v/>
      </c>
      <c r="T73" s="38" t="str">
        <f t="shared" ca="1" si="12"/>
        <v/>
      </c>
      <c r="U73" s="94"/>
      <c r="V73" t="str">
        <f>IF(AND(OR($P73="☑",$P73=TRUE,$P73=1,$P73="Y",$P73="Yes",$P73="✔",$P73="☒",$P73="X"),$D73&lt;&gt;""),COUNTIF($P$2:$P73,"☑")+COUNTIF($P$2:$P73,TRUE)+COUNTIF($P$2:$P73,1)+COUNTIF($P$2:$P73,"Y")+COUNTIF($P$2:$P73,"Yes")+COUNTIF($P$2:$P73,"✔")+COUNTIF($P$2:$P73,"☒")+COUNTIF($P$2:$P73,"X"),"")</f>
        <v/>
      </c>
    </row>
    <row r="74" spans="1:22" ht="14.15" customHeight="1" x14ac:dyDescent="0.25">
      <c r="A74" s="93" t="str">
        <f t="shared" si="9"/>
        <v/>
      </c>
      <c r="B74" s="45"/>
      <c r="C74" s="45"/>
      <c r="D74" s="45"/>
      <c r="E74" s="45"/>
      <c r="F74" s="45"/>
      <c r="G74" s="45"/>
      <c r="H74" s="45"/>
      <c r="I74" s="46"/>
      <c r="J74" s="46"/>
      <c r="K74" s="38" t="str">
        <f t="shared" si="10"/>
        <v/>
      </c>
      <c r="L74" s="46"/>
      <c r="M74" s="46"/>
      <c r="N74" s="45"/>
      <c r="O74" s="47"/>
      <c r="P74" s="74" t="b">
        <v>0</v>
      </c>
      <c r="Q74" s="46"/>
      <c r="R74" s="46"/>
      <c r="S74" s="38" t="str">
        <f t="shared" si="11"/>
        <v/>
      </c>
      <c r="T74" s="38" t="str">
        <f t="shared" ca="1" si="12"/>
        <v/>
      </c>
      <c r="U74" s="94"/>
      <c r="V74" t="str">
        <f>IF(AND(OR($P74="☑",$P74=TRUE,$P74=1,$P74="Y",$P74="Yes",$P74="✔",$P74="☒",$P74="X"),$D74&lt;&gt;""),COUNTIF($P$2:$P74,"☑")+COUNTIF($P$2:$P74,TRUE)+COUNTIF($P$2:$P74,1)+COUNTIF($P$2:$P74,"Y")+COUNTIF($P$2:$P74,"Yes")+COUNTIF($P$2:$P74,"✔")+COUNTIF($P$2:$P74,"☒")+COUNTIF($P$2:$P74,"X"),"")</f>
        <v/>
      </c>
    </row>
    <row r="75" spans="1:22" ht="14.15" customHeight="1" x14ac:dyDescent="0.25">
      <c r="A75" s="93" t="str">
        <f t="shared" si="9"/>
        <v/>
      </c>
      <c r="B75" s="45"/>
      <c r="C75" s="45"/>
      <c r="D75" s="45"/>
      <c r="E75" s="45"/>
      <c r="F75" s="45"/>
      <c r="G75" s="45"/>
      <c r="H75" s="45"/>
      <c r="I75" s="46"/>
      <c r="J75" s="46"/>
      <c r="K75" s="38" t="str">
        <f t="shared" si="10"/>
        <v/>
      </c>
      <c r="L75" s="46"/>
      <c r="M75" s="46"/>
      <c r="N75" s="45"/>
      <c r="O75" s="47"/>
      <c r="P75" s="74" t="b">
        <v>0</v>
      </c>
      <c r="Q75" s="46"/>
      <c r="R75" s="46"/>
      <c r="S75" s="38" t="str">
        <f t="shared" si="11"/>
        <v/>
      </c>
      <c r="T75" s="38" t="str">
        <f t="shared" ca="1" si="12"/>
        <v/>
      </c>
      <c r="U75" s="94"/>
      <c r="V75" t="str">
        <f>IF(AND(OR($P75="☑",$P75=TRUE,$P75=1,$P75="Y",$P75="Yes",$P75="✔",$P75="☒",$P75="X"),$D75&lt;&gt;""),COUNTIF($P$2:$P75,"☑")+COUNTIF($P$2:$P75,TRUE)+COUNTIF($P$2:$P75,1)+COUNTIF($P$2:$P75,"Y")+COUNTIF($P$2:$P75,"Yes")+COUNTIF($P$2:$P75,"✔")+COUNTIF($P$2:$P75,"☒")+COUNTIF($P$2:$P75,"X"),"")</f>
        <v/>
      </c>
    </row>
    <row r="76" spans="1:22" ht="14.15" customHeight="1" x14ac:dyDescent="0.25">
      <c r="A76" s="93" t="str">
        <f t="shared" si="9"/>
        <v/>
      </c>
      <c r="B76" s="45"/>
      <c r="C76" s="45"/>
      <c r="D76" s="45"/>
      <c r="E76" s="45"/>
      <c r="F76" s="45"/>
      <c r="G76" s="45"/>
      <c r="H76" s="45"/>
      <c r="I76" s="46"/>
      <c r="J76" s="46"/>
      <c r="K76" s="38" t="str">
        <f t="shared" si="10"/>
        <v/>
      </c>
      <c r="L76" s="46"/>
      <c r="M76" s="46"/>
      <c r="N76" s="45"/>
      <c r="O76" s="47"/>
      <c r="P76" s="74" t="b">
        <v>0</v>
      </c>
      <c r="Q76" s="46"/>
      <c r="R76" s="46"/>
      <c r="S76" s="38" t="str">
        <f t="shared" si="11"/>
        <v/>
      </c>
      <c r="T76" s="38" t="str">
        <f t="shared" ca="1" si="12"/>
        <v/>
      </c>
      <c r="U76" s="94"/>
      <c r="V76" t="str">
        <f>IF(AND(OR($P76="☑",$P76=TRUE,$P76=1,$P76="Y",$P76="Yes",$P76="✔",$P76="☒",$P76="X"),$D76&lt;&gt;""),COUNTIF($P$2:$P76,"☑")+COUNTIF($P$2:$P76,TRUE)+COUNTIF($P$2:$P76,1)+COUNTIF($P$2:$P76,"Y")+COUNTIF($P$2:$P76,"Yes")+COUNTIF($P$2:$P76,"✔")+COUNTIF($P$2:$P76,"☒")+COUNTIF($P$2:$P76,"X"),"")</f>
        <v/>
      </c>
    </row>
    <row r="77" spans="1:22" ht="14.15" customHeight="1" x14ac:dyDescent="0.25">
      <c r="A77" s="93" t="str">
        <f t="shared" si="9"/>
        <v/>
      </c>
      <c r="B77" s="45"/>
      <c r="C77" s="45"/>
      <c r="D77" s="45"/>
      <c r="E77" s="45"/>
      <c r="F77" s="45"/>
      <c r="G77" s="45"/>
      <c r="H77" s="45"/>
      <c r="I77" s="46"/>
      <c r="J77" s="46"/>
      <c r="K77" s="38" t="str">
        <f t="shared" si="10"/>
        <v/>
      </c>
      <c r="L77" s="46"/>
      <c r="M77" s="46"/>
      <c r="N77" s="45"/>
      <c r="O77" s="47"/>
      <c r="P77" s="74" t="b">
        <v>0</v>
      </c>
      <c r="Q77" s="46"/>
      <c r="R77" s="46"/>
      <c r="S77" s="38" t="str">
        <f t="shared" si="11"/>
        <v/>
      </c>
      <c r="T77" s="38" t="str">
        <f t="shared" ca="1" si="12"/>
        <v/>
      </c>
      <c r="U77" s="94"/>
      <c r="V77" t="str">
        <f>IF(AND(OR($P77="☑",$P77=TRUE,$P77=1,$P77="Y",$P77="Yes",$P77="✔",$P77="☒",$P77="X"),$D77&lt;&gt;""),COUNTIF($P$2:$P77,"☑")+COUNTIF($P$2:$P77,TRUE)+COUNTIF($P$2:$P77,1)+COUNTIF($P$2:$P77,"Y")+COUNTIF($P$2:$P77,"Yes")+COUNTIF($P$2:$P77,"✔")+COUNTIF($P$2:$P77,"☒")+COUNTIF($P$2:$P77,"X"),"")</f>
        <v/>
      </c>
    </row>
    <row r="78" spans="1:22" ht="14.15" customHeight="1" x14ac:dyDescent="0.25">
      <c r="A78" s="93" t="str">
        <f t="shared" si="9"/>
        <v/>
      </c>
      <c r="B78" s="45"/>
      <c r="C78" s="45"/>
      <c r="D78" s="45"/>
      <c r="E78" s="45"/>
      <c r="F78" s="45"/>
      <c r="G78" s="45"/>
      <c r="H78" s="45"/>
      <c r="I78" s="46"/>
      <c r="J78" s="46"/>
      <c r="K78" s="38" t="str">
        <f t="shared" si="10"/>
        <v/>
      </c>
      <c r="L78" s="46"/>
      <c r="M78" s="46"/>
      <c r="N78" s="45"/>
      <c r="O78" s="47"/>
      <c r="P78" s="74" t="b">
        <v>0</v>
      </c>
      <c r="Q78" s="46"/>
      <c r="R78" s="46"/>
      <c r="S78" s="38" t="str">
        <f t="shared" si="11"/>
        <v/>
      </c>
      <c r="T78" s="38" t="str">
        <f t="shared" ca="1" si="12"/>
        <v/>
      </c>
      <c r="U78" s="94"/>
      <c r="V78" t="str">
        <f>IF(AND(OR($P78="☑",$P78=TRUE,$P78=1,$P78="Y",$P78="Yes",$P78="✔",$P78="☒",$P78="X"),$D78&lt;&gt;""),COUNTIF($P$2:$P78,"☑")+COUNTIF($P$2:$P78,TRUE)+COUNTIF($P$2:$P78,1)+COUNTIF($P$2:$P78,"Y")+COUNTIF($P$2:$P78,"Yes")+COUNTIF($P$2:$P78,"✔")+COUNTIF($P$2:$P78,"☒")+COUNTIF($P$2:$P78,"X"),"")</f>
        <v/>
      </c>
    </row>
    <row r="79" spans="1:22" ht="14.15" customHeight="1" x14ac:dyDescent="0.25">
      <c r="A79" s="93" t="str">
        <f t="shared" si="9"/>
        <v/>
      </c>
      <c r="B79" s="45"/>
      <c r="C79" s="45"/>
      <c r="D79" s="45"/>
      <c r="E79" s="45"/>
      <c r="F79" s="45"/>
      <c r="G79" s="45"/>
      <c r="H79" s="45"/>
      <c r="I79" s="46"/>
      <c r="J79" s="46"/>
      <c r="K79" s="38" t="str">
        <f t="shared" si="10"/>
        <v/>
      </c>
      <c r="L79" s="46"/>
      <c r="M79" s="46"/>
      <c r="N79" s="45"/>
      <c r="O79" s="47"/>
      <c r="P79" s="74" t="b">
        <v>0</v>
      </c>
      <c r="Q79" s="46"/>
      <c r="R79" s="46"/>
      <c r="S79" s="38" t="str">
        <f t="shared" si="11"/>
        <v/>
      </c>
      <c r="T79" s="38" t="str">
        <f t="shared" ca="1" si="12"/>
        <v/>
      </c>
      <c r="U79" s="94"/>
      <c r="V79" t="str">
        <f>IF(AND(OR($P79="☑",$P79=TRUE,$P79=1,$P79="Y",$P79="Yes",$P79="✔",$P79="☒",$P79="X"),$D79&lt;&gt;""),COUNTIF($P$2:$P79,"☑")+COUNTIF($P$2:$P79,TRUE)+COUNTIF($P$2:$P79,1)+COUNTIF($P$2:$P79,"Y")+COUNTIF($P$2:$P79,"Yes")+COUNTIF($P$2:$P79,"✔")+COUNTIF($P$2:$P79,"☒")+COUNTIF($P$2:$P79,"X"),"")</f>
        <v/>
      </c>
    </row>
    <row r="80" spans="1:22" ht="14.15" customHeight="1" x14ac:dyDescent="0.25">
      <c r="A80" s="93" t="str">
        <f t="shared" si="9"/>
        <v/>
      </c>
      <c r="B80" s="45"/>
      <c r="C80" s="45"/>
      <c r="D80" s="45"/>
      <c r="E80" s="45"/>
      <c r="F80" s="45"/>
      <c r="G80" s="45"/>
      <c r="H80" s="45"/>
      <c r="I80" s="46"/>
      <c r="J80" s="46"/>
      <c r="K80" s="38" t="str">
        <f t="shared" si="10"/>
        <v/>
      </c>
      <c r="L80" s="46"/>
      <c r="M80" s="46"/>
      <c r="N80" s="45"/>
      <c r="O80" s="47"/>
      <c r="P80" s="74" t="b">
        <v>0</v>
      </c>
      <c r="Q80" s="46"/>
      <c r="R80" s="46"/>
      <c r="S80" s="38" t="str">
        <f t="shared" si="11"/>
        <v/>
      </c>
      <c r="T80" s="38" t="str">
        <f t="shared" ca="1" si="12"/>
        <v/>
      </c>
      <c r="U80" s="94"/>
      <c r="V80" t="str">
        <f>IF(AND(OR($P80="☑",$P80=TRUE,$P80=1,$P80="Y",$P80="Yes",$P80="✔",$P80="☒",$P80="X"),$D80&lt;&gt;""),COUNTIF($P$2:$P80,"☑")+COUNTIF($P$2:$P80,TRUE)+COUNTIF($P$2:$P80,1)+COUNTIF($P$2:$P80,"Y")+COUNTIF($P$2:$P80,"Yes")+COUNTIF($P$2:$P80,"✔")+COUNTIF($P$2:$P80,"☒")+COUNTIF($P$2:$P80,"X"),"")</f>
        <v/>
      </c>
    </row>
    <row r="81" spans="1:22" ht="14.15" customHeight="1" x14ac:dyDescent="0.25">
      <c r="A81" s="93" t="str">
        <f t="shared" si="9"/>
        <v/>
      </c>
      <c r="B81" s="45"/>
      <c r="C81" s="45"/>
      <c r="D81" s="45"/>
      <c r="E81" s="45"/>
      <c r="F81" s="45"/>
      <c r="G81" s="45"/>
      <c r="H81" s="45"/>
      <c r="I81" s="46"/>
      <c r="J81" s="46"/>
      <c r="K81" s="38" t="str">
        <f t="shared" si="10"/>
        <v/>
      </c>
      <c r="L81" s="46"/>
      <c r="M81" s="46"/>
      <c r="N81" s="45"/>
      <c r="O81" s="47"/>
      <c r="P81" s="74" t="b">
        <v>0</v>
      </c>
      <c r="Q81" s="46"/>
      <c r="R81" s="46"/>
      <c r="S81" s="38" t="str">
        <f t="shared" si="11"/>
        <v/>
      </c>
      <c r="T81" s="38" t="str">
        <f t="shared" ca="1" si="12"/>
        <v/>
      </c>
      <c r="U81" s="94"/>
      <c r="V81" t="str">
        <f>IF(AND(OR($P81="☑",$P81=TRUE,$P81=1,$P81="Y",$P81="Yes",$P81="✔",$P81="☒",$P81="X"),$D81&lt;&gt;""),COUNTIF($P$2:$P81,"☑")+COUNTIF($P$2:$P81,TRUE)+COUNTIF($P$2:$P81,1)+COUNTIF($P$2:$P81,"Y")+COUNTIF($P$2:$P81,"Yes")+COUNTIF($P$2:$P81,"✔")+COUNTIF($P$2:$P81,"☒")+COUNTIF($P$2:$P81,"X"),"")</f>
        <v/>
      </c>
    </row>
    <row r="82" spans="1:22" ht="14.15" customHeight="1" x14ac:dyDescent="0.25">
      <c r="A82" s="93" t="str">
        <f t="shared" si="9"/>
        <v/>
      </c>
      <c r="B82" s="45"/>
      <c r="C82" s="45"/>
      <c r="D82" s="45"/>
      <c r="E82" s="45"/>
      <c r="F82" s="45"/>
      <c r="G82" s="45"/>
      <c r="H82" s="45"/>
      <c r="I82" s="46"/>
      <c r="J82" s="46"/>
      <c r="K82" s="38" t="str">
        <f t="shared" si="10"/>
        <v/>
      </c>
      <c r="L82" s="46"/>
      <c r="M82" s="46"/>
      <c r="N82" s="45"/>
      <c r="O82" s="47"/>
      <c r="P82" s="74" t="b">
        <v>0</v>
      </c>
      <c r="Q82" s="46"/>
      <c r="R82" s="46"/>
      <c r="S82" s="38" t="str">
        <f t="shared" si="11"/>
        <v/>
      </c>
      <c r="T82" s="38" t="str">
        <f t="shared" ca="1" si="12"/>
        <v/>
      </c>
      <c r="U82" s="94"/>
      <c r="V82" t="str">
        <f>IF(AND(OR($P82="☑",$P82=TRUE,$P82=1,$P82="Y",$P82="Yes",$P82="✔",$P82="☒",$P82="X"),$D82&lt;&gt;""),COUNTIF($P$2:$P82,"☑")+COUNTIF($P$2:$P82,TRUE)+COUNTIF($P$2:$P82,1)+COUNTIF($P$2:$P82,"Y")+COUNTIF($P$2:$P82,"Yes")+COUNTIF($P$2:$P82,"✔")+COUNTIF($P$2:$P82,"☒")+COUNTIF($P$2:$P82,"X"),"")</f>
        <v/>
      </c>
    </row>
    <row r="83" spans="1:22" ht="14.15" customHeight="1" x14ac:dyDescent="0.25">
      <c r="A83" s="93" t="str">
        <f t="shared" si="9"/>
        <v/>
      </c>
      <c r="B83" s="45"/>
      <c r="C83" s="45"/>
      <c r="D83" s="45"/>
      <c r="E83" s="45"/>
      <c r="F83" s="45"/>
      <c r="G83" s="45"/>
      <c r="H83" s="45"/>
      <c r="I83" s="46"/>
      <c r="J83" s="46"/>
      <c r="K83" s="38" t="str">
        <f t="shared" si="10"/>
        <v/>
      </c>
      <c r="L83" s="46"/>
      <c r="M83" s="46"/>
      <c r="N83" s="45"/>
      <c r="O83" s="47"/>
      <c r="P83" s="74" t="b">
        <v>0</v>
      </c>
      <c r="Q83" s="46"/>
      <c r="R83" s="46"/>
      <c r="S83" s="38" t="str">
        <f t="shared" si="11"/>
        <v/>
      </c>
      <c r="T83" s="38" t="str">
        <f t="shared" ca="1" si="12"/>
        <v/>
      </c>
      <c r="U83" s="94"/>
      <c r="V83" t="str">
        <f>IF(AND(OR($P83="☑",$P83=TRUE,$P83=1,$P83="Y",$P83="Yes",$P83="✔",$P83="☒",$P83="X"),$D83&lt;&gt;""),COUNTIF($P$2:$P83,"☑")+COUNTIF($P$2:$P83,TRUE)+COUNTIF($P$2:$P83,1)+COUNTIF($P$2:$P83,"Y")+COUNTIF($P$2:$P83,"Yes")+COUNTIF($P$2:$P83,"✔")+COUNTIF($P$2:$P83,"☒")+COUNTIF($P$2:$P83,"X"),"")</f>
        <v/>
      </c>
    </row>
    <row r="84" spans="1:22" ht="14.15" customHeight="1" x14ac:dyDescent="0.25">
      <c r="A84" s="93" t="str">
        <f t="shared" si="9"/>
        <v/>
      </c>
      <c r="B84" s="45"/>
      <c r="C84" s="45"/>
      <c r="D84" s="45"/>
      <c r="E84" s="45"/>
      <c r="F84" s="45"/>
      <c r="G84" s="45"/>
      <c r="H84" s="45"/>
      <c r="I84" s="46"/>
      <c r="J84" s="46"/>
      <c r="K84" s="38" t="str">
        <f t="shared" si="10"/>
        <v/>
      </c>
      <c r="L84" s="46"/>
      <c r="M84" s="46"/>
      <c r="N84" s="45"/>
      <c r="O84" s="47"/>
      <c r="P84" s="74" t="b">
        <v>0</v>
      </c>
      <c r="Q84" s="46"/>
      <c r="R84" s="46"/>
      <c r="S84" s="38" t="str">
        <f t="shared" si="11"/>
        <v/>
      </c>
      <c r="T84" s="38" t="str">
        <f t="shared" ca="1" si="12"/>
        <v/>
      </c>
      <c r="U84" s="94"/>
      <c r="V84" t="str">
        <f>IF(AND(OR($P84="☑",$P84=TRUE,$P84=1,$P84="Y",$P84="Yes",$P84="✔",$P84="☒",$P84="X"),$D84&lt;&gt;""),COUNTIF($P$2:$P84,"☑")+COUNTIF($P$2:$P84,TRUE)+COUNTIF($P$2:$P84,1)+COUNTIF($P$2:$P84,"Y")+COUNTIF($P$2:$P84,"Yes")+COUNTIF($P$2:$P84,"✔")+COUNTIF($P$2:$P84,"☒")+COUNTIF($P$2:$P84,"X"),"")</f>
        <v/>
      </c>
    </row>
    <row r="85" spans="1:22" ht="14.15" customHeight="1" x14ac:dyDescent="0.25">
      <c r="A85" s="93" t="str">
        <f t="shared" si="9"/>
        <v/>
      </c>
      <c r="B85" s="45"/>
      <c r="C85" s="45"/>
      <c r="D85" s="45"/>
      <c r="E85" s="45"/>
      <c r="F85" s="45"/>
      <c r="G85" s="45"/>
      <c r="H85" s="45"/>
      <c r="I85" s="46"/>
      <c r="J85" s="46"/>
      <c r="K85" s="38" t="str">
        <f t="shared" si="10"/>
        <v/>
      </c>
      <c r="L85" s="46"/>
      <c r="M85" s="46"/>
      <c r="N85" s="45"/>
      <c r="O85" s="47"/>
      <c r="P85" s="74" t="b">
        <v>0</v>
      </c>
      <c r="Q85" s="46"/>
      <c r="R85" s="46"/>
      <c r="S85" s="38" t="str">
        <f t="shared" si="11"/>
        <v/>
      </c>
      <c r="T85" s="38" t="str">
        <f t="shared" ca="1" si="12"/>
        <v/>
      </c>
      <c r="U85" s="94"/>
      <c r="V85" t="str">
        <f>IF(AND(OR($P85="☑",$P85=TRUE,$P85=1,$P85="Y",$P85="Yes",$P85="✔",$P85="☒",$P85="X"),$D85&lt;&gt;""),COUNTIF($P$2:$P85,"☑")+COUNTIF($P$2:$P85,TRUE)+COUNTIF($P$2:$P85,1)+COUNTIF($P$2:$P85,"Y")+COUNTIF($P$2:$P85,"Yes")+COUNTIF($P$2:$P85,"✔")+COUNTIF($P$2:$P85,"☒")+COUNTIF($P$2:$P85,"X"),"")</f>
        <v/>
      </c>
    </row>
    <row r="86" spans="1:22" ht="14.15" customHeight="1" x14ac:dyDescent="0.25">
      <c r="A86" s="93" t="str">
        <f t="shared" si="9"/>
        <v/>
      </c>
      <c r="B86" s="45"/>
      <c r="C86" s="45"/>
      <c r="D86" s="45"/>
      <c r="E86" s="45"/>
      <c r="F86" s="45"/>
      <c r="G86" s="45"/>
      <c r="H86" s="45"/>
      <c r="I86" s="46"/>
      <c r="J86" s="46"/>
      <c r="K86" s="38" t="str">
        <f t="shared" si="10"/>
        <v/>
      </c>
      <c r="L86" s="46"/>
      <c r="M86" s="46"/>
      <c r="N86" s="45"/>
      <c r="O86" s="47"/>
      <c r="P86" s="74" t="b">
        <v>0</v>
      </c>
      <c r="Q86" s="46"/>
      <c r="R86" s="46"/>
      <c r="S86" s="38" t="str">
        <f t="shared" si="11"/>
        <v/>
      </c>
      <c r="T86" s="38" t="str">
        <f t="shared" ca="1" si="12"/>
        <v/>
      </c>
      <c r="U86" s="94"/>
      <c r="V86" t="str">
        <f>IF(AND(OR($P86="☑",$P86=TRUE,$P86=1,$P86="Y",$P86="Yes",$P86="✔",$P86="☒",$P86="X"),$D86&lt;&gt;""),COUNTIF($P$2:$P86,"☑")+COUNTIF($P$2:$P86,TRUE)+COUNTIF($P$2:$P86,1)+COUNTIF($P$2:$P86,"Y")+COUNTIF($P$2:$P86,"Yes")+COUNTIF($P$2:$P86,"✔")+COUNTIF($P$2:$P86,"☒")+COUNTIF($P$2:$P86,"X"),"")</f>
        <v/>
      </c>
    </row>
    <row r="87" spans="1:22" ht="14.15" customHeight="1" x14ac:dyDescent="0.25">
      <c r="A87" s="93" t="str">
        <f t="shared" si="9"/>
        <v/>
      </c>
      <c r="B87" s="45"/>
      <c r="C87" s="45"/>
      <c r="D87" s="45"/>
      <c r="E87" s="45"/>
      <c r="F87" s="45"/>
      <c r="G87" s="45"/>
      <c r="H87" s="45"/>
      <c r="I87" s="46"/>
      <c r="J87" s="46"/>
      <c r="K87" s="38" t="str">
        <f t="shared" si="10"/>
        <v/>
      </c>
      <c r="L87" s="46"/>
      <c r="M87" s="46"/>
      <c r="N87" s="45"/>
      <c r="O87" s="47"/>
      <c r="P87" s="74" t="b">
        <v>0</v>
      </c>
      <c r="Q87" s="46"/>
      <c r="R87" s="46"/>
      <c r="S87" s="38" t="str">
        <f t="shared" si="11"/>
        <v/>
      </c>
      <c r="T87" s="38" t="str">
        <f t="shared" ca="1" si="12"/>
        <v/>
      </c>
      <c r="U87" s="94"/>
      <c r="V87" t="str">
        <f>IF(AND(OR($P87="☑",$P87=TRUE,$P87=1,$P87="Y",$P87="Yes",$P87="✔",$P87="☒",$P87="X"),$D87&lt;&gt;""),COUNTIF($P$2:$P87,"☑")+COUNTIF($P$2:$P87,TRUE)+COUNTIF($P$2:$P87,1)+COUNTIF($P$2:$P87,"Y")+COUNTIF($P$2:$P87,"Yes")+COUNTIF($P$2:$P87,"✔")+COUNTIF($P$2:$P87,"☒")+COUNTIF($P$2:$P87,"X"),"")</f>
        <v/>
      </c>
    </row>
    <row r="88" spans="1:22" ht="14.15" customHeight="1" x14ac:dyDescent="0.25">
      <c r="A88" s="93" t="str">
        <f t="shared" si="9"/>
        <v/>
      </c>
      <c r="B88" s="45"/>
      <c r="C88" s="45"/>
      <c r="D88" s="45"/>
      <c r="E88" s="45"/>
      <c r="F88" s="45"/>
      <c r="G88" s="45"/>
      <c r="H88" s="45"/>
      <c r="I88" s="46"/>
      <c r="J88" s="46"/>
      <c r="K88" s="38" t="str">
        <f t="shared" si="10"/>
        <v/>
      </c>
      <c r="L88" s="46"/>
      <c r="M88" s="46"/>
      <c r="N88" s="45"/>
      <c r="O88" s="47"/>
      <c r="P88" s="74" t="b">
        <v>0</v>
      </c>
      <c r="Q88" s="46"/>
      <c r="R88" s="46"/>
      <c r="S88" s="38" t="str">
        <f t="shared" si="11"/>
        <v/>
      </c>
      <c r="T88" s="38" t="str">
        <f t="shared" ca="1" si="12"/>
        <v/>
      </c>
      <c r="U88" s="94"/>
      <c r="V88" t="str">
        <f>IF(AND(OR($P88="☑",$P88=TRUE,$P88=1,$P88="Y",$P88="Yes",$P88="✔",$P88="☒",$P88="X"),$D88&lt;&gt;""),COUNTIF($P$2:$P88,"☑")+COUNTIF($P$2:$P88,TRUE)+COUNTIF($P$2:$P88,1)+COUNTIF($P$2:$P88,"Y")+COUNTIF($P$2:$P88,"Yes")+COUNTIF($P$2:$P88,"✔")+COUNTIF($P$2:$P88,"☒")+COUNTIF($P$2:$P88,"X"),"")</f>
        <v/>
      </c>
    </row>
    <row r="89" spans="1:22" ht="14.15" customHeight="1" x14ac:dyDescent="0.25">
      <c r="A89" s="93" t="str">
        <f t="shared" si="9"/>
        <v/>
      </c>
      <c r="B89" s="45"/>
      <c r="C89" s="45"/>
      <c r="D89" s="45"/>
      <c r="E89" s="45"/>
      <c r="F89" s="45"/>
      <c r="G89" s="45"/>
      <c r="H89" s="45"/>
      <c r="I89" s="46"/>
      <c r="J89" s="46"/>
      <c r="K89" s="38" t="str">
        <f t="shared" si="10"/>
        <v/>
      </c>
      <c r="L89" s="46"/>
      <c r="M89" s="46"/>
      <c r="N89" s="45"/>
      <c r="O89" s="47"/>
      <c r="P89" s="74" t="b">
        <v>0</v>
      </c>
      <c r="Q89" s="46"/>
      <c r="R89" s="46"/>
      <c r="S89" s="38" t="str">
        <f t="shared" si="11"/>
        <v/>
      </c>
      <c r="T89" s="38" t="str">
        <f t="shared" ca="1" si="12"/>
        <v/>
      </c>
      <c r="U89" s="94"/>
      <c r="V89" t="str">
        <f>IF(AND(OR($P89="☑",$P89=TRUE,$P89=1,$P89="Y",$P89="Yes",$P89="✔",$P89="☒",$P89="X"),$D89&lt;&gt;""),COUNTIF($P$2:$P89,"☑")+COUNTIF($P$2:$P89,TRUE)+COUNTIF($P$2:$P89,1)+COUNTIF($P$2:$P89,"Y")+COUNTIF($P$2:$P89,"Yes")+COUNTIF($P$2:$P89,"✔")+COUNTIF($P$2:$P89,"☒")+COUNTIF($P$2:$P89,"X"),"")</f>
        <v/>
      </c>
    </row>
    <row r="90" spans="1:22" ht="14.15" customHeight="1" x14ac:dyDescent="0.25">
      <c r="A90" s="93" t="str">
        <f t="shared" si="9"/>
        <v/>
      </c>
      <c r="B90" s="45"/>
      <c r="C90" s="45"/>
      <c r="D90" s="45"/>
      <c r="E90" s="45"/>
      <c r="F90" s="45"/>
      <c r="G90" s="45"/>
      <c r="H90" s="45"/>
      <c r="I90" s="46"/>
      <c r="J90" s="46"/>
      <c r="K90" s="38" t="str">
        <f t="shared" si="10"/>
        <v/>
      </c>
      <c r="L90" s="46"/>
      <c r="M90" s="46"/>
      <c r="N90" s="45"/>
      <c r="O90" s="47"/>
      <c r="P90" s="74" t="b">
        <v>0</v>
      </c>
      <c r="Q90" s="46"/>
      <c r="R90" s="46"/>
      <c r="S90" s="38" t="str">
        <f t="shared" si="11"/>
        <v/>
      </c>
      <c r="T90" s="38" t="str">
        <f t="shared" ca="1" si="12"/>
        <v/>
      </c>
      <c r="U90" s="94"/>
      <c r="V90" t="str">
        <f>IF(AND(OR($P90="☑",$P90=TRUE,$P90=1,$P90="Y",$P90="Yes",$P90="✔",$P90="☒",$P90="X"),$D90&lt;&gt;""),COUNTIF($P$2:$P90,"☑")+COUNTIF($P$2:$P90,TRUE)+COUNTIF($P$2:$P90,1)+COUNTIF($P$2:$P90,"Y")+COUNTIF($P$2:$P90,"Yes")+COUNTIF($P$2:$P90,"✔")+COUNTIF($P$2:$P90,"☒")+COUNTIF($P$2:$P90,"X"),"")</f>
        <v/>
      </c>
    </row>
    <row r="91" spans="1:22" ht="14.15" customHeight="1" x14ac:dyDescent="0.25">
      <c r="A91" s="93" t="str">
        <f t="shared" si="9"/>
        <v/>
      </c>
      <c r="B91" s="45"/>
      <c r="C91" s="45"/>
      <c r="D91" s="45"/>
      <c r="E91" s="45"/>
      <c r="F91" s="45"/>
      <c r="G91" s="45"/>
      <c r="H91" s="45"/>
      <c r="I91" s="46"/>
      <c r="J91" s="46"/>
      <c r="K91" s="38" t="str">
        <f t="shared" si="10"/>
        <v/>
      </c>
      <c r="L91" s="46"/>
      <c r="M91" s="46"/>
      <c r="N91" s="45"/>
      <c r="O91" s="47"/>
      <c r="P91" s="74" t="b">
        <v>0</v>
      </c>
      <c r="Q91" s="46"/>
      <c r="R91" s="46"/>
      <c r="S91" s="38" t="str">
        <f t="shared" si="11"/>
        <v/>
      </c>
      <c r="T91" s="38" t="str">
        <f t="shared" ca="1" si="12"/>
        <v/>
      </c>
      <c r="U91" s="94"/>
      <c r="V91" t="str">
        <f>IF(AND(OR($P91="☑",$P91=TRUE,$P91=1,$P91="Y",$P91="Yes",$P91="✔",$P91="☒",$P91="X"),$D91&lt;&gt;""),COUNTIF($P$2:$P91,"☑")+COUNTIF($P$2:$P91,TRUE)+COUNTIF($P$2:$P91,1)+COUNTIF($P$2:$P91,"Y")+COUNTIF($P$2:$P91,"Yes")+COUNTIF($P$2:$P91,"✔")+COUNTIF($P$2:$P91,"☒")+COUNTIF($P$2:$P91,"X"),"")</f>
        <v/>
      </c>
    </row>
    <row r="92" spans="1:22" ht="14.15" customHeight="1" x14ac:dyDescent="0.25">
      <c r="A92" s="93" t="str">
        <f t="shared" si="9"/>
        <v/>
      </c>
      <c r="B92" s="45"/>
      <c r="C92" s="45"/>
      <c r="D92" s="45"/>
      <c r="E92" s="45"/>
      <c r="F92" s="45"/>
      <c r="G92" s="45"/>
      <c r="H92" s="45"/>
      <c r="I92" s="46"/>
      <c r="J92" s="46"/>
      <c r="K92" s="38" t="str">
        <f t="shared" si="10"/>
        <v/>
      </c>
      <c r="L92" s="46"/>
      <c r="M92" s="46"/>
      <c r="N92" s="45"/>
      <c r="O92" s="47"/>
      <c r="P92" s="74" t="b">
        <v>0</v>
      </c>
      <c r="Q92" s="46"/>
      <c r="R92" s="46"/>
      <c r="S92" s="38" t="str">
        <f t="shared" si="11"/>
        <v/>
      </c>
      <c r="T92" s="38" t="str">
        <f t="shared" ca="1" si="12"/>
        <v/>
      </c>
      <c r="U92" s="94"/>
      <c r="V92" t="str">
        <f>IF(AND(OR($P92="☑",$P92=TRUE,$P92=1,$P92="Y",$P92="Yes",$P92="✔",$P92="☒",$P92="X"),$D92&lt;&gt;""),COUNTIF($P$2:$P92,"☑")+COUNTIF($P$2:$P92,TRUE)+COUNTIF($P$2:$P92,1)+COUNTIF($P$2:$P92,"Y")+COUNTIF($P$2:$P92,"Yes")+COUNTIF($P$2:$P92,"✔")+COUNTIF($P$2:$P92,"☒")+COUNTIF($P$2:$P92,"X"),"")</f>
        <v/>
      </c>
    </row>
    <row r="93" spans="1:22" ht="14.15" customHeight="1" x14ac:dyDescent="0.25">
      <c r="A93" s="93" t="str">
        <f t="shared" si="9"/>
        <v/>
      </c>
      <c r="B93" s="45"/>
      <c r="C93" s="45"/>
      <c r="D93" s="45"/>
      <c r="E93" s="45"/>
      <c r="F93" s="45"/>
      <c r="G93" s="45"/>
      <c r="H93" s="45"/>
      <c r="I93" s="46"/>
      <c r="J93" s="46"/>
      <c r="K93" s="38" t="str">
        <f t="shared" si="10"/>
        <v/>
      </c>
      <c r="L93" s="46"/>
      <c r="M93" s="46"/>
      <c r="N93" s="45"/>
      <c r="O93" s="47"/>
      <c r="P93" s="74" t="b">
        <v>0</v>
      </c>
      <c r="Q93" s="46"/>
      <c r="R93" s="46"/>
      <c r="S93" s="38" t="str">
        <f t="shared" si="11"/>
        <v/>
      </c>
      <c r="T93" s="38" t="str">
        <f t="shared" ca="1" si="12"/>
        <v/>
      </c>
      <c r="U93" s="94"/>
      <c r="V93" t="str">
        <f>IF(AND(OR($P93="☑",$P93=TRUE,$P93=1,$P93="Y",$P93="Yes",$P93="✔",$P93="☒",$P93="X"),$D93&lt;&gt;""),COUNTIF($P$2:$P93,"☑")+COUNTIF($P$2:$P93,TRUE)+COUNTIF($P$2:$P93,1)+COUNTIF($P$2:$P93,"Y")+COUNTIF($P$2:$P93,"Yes")+COUNTIF($P$2:$P93,"✔")+COUNTIF($P$2:$P93,"☒")+COUNTIF($P$2:$P93,"X"),"")</f>
        <v/>
      </c>
    </row>
    <row r="94" spans="1:22" ht="14.15" customHeight="1" x14ac:dyDescent="0.25">
      <c r="A94" s="93" t="str">
        <f t="shared" si="9"/>
        <v/>
      </c>
      <c r="B94" s="45"/>
      <c r="C94" s="45"/>
      <c r="D94" s="45"/>
      <c r="E94" s="45"/>
      <c r="F94" s="45"/>
      <c r="G94" s="45"/>
      <c r="H94" s="45"/>
      <c r="I94" s="46"/>
      <c r="J94" s="46"/>
      <c r="K94" s="38" t="str">
        <f t="shared" si="10"/>
        <v/>
      </c>
      <c r="L94" s="46"/>
      <c r="M94" s="46"/>
      <c r="N94" s="45"/>
      <c r="O94" s="47"/>
      <c r="P94" s="74" t="b">
        <v>0</v>
      </c>
      <c r="Q94" s="46"/>
      <c r="R94" s="46"/>
      <c r="S94" s="38" t="str">
        <f t="shared" si="11"/>
        <v/>
      </c>
      <c r="T94" s="38" t="str">
        <f t="shared" ca="1" si="12"/>
        <v/>
      </c>
      <c r="U94" s="94"/>
      <c r="V94" t="str">
        <f>IF(AND(OR($P94="☑",$P94=TRUE,$P94=1,$P94="Y",$P94="Yes",$P94="✔",$P94="☒",$P94="X"),$D94&lt;&gt;""),COUNTIF($P$2:$P94,"☑")+COUNTIF($P$2:$P94,TRUE)+COUNTIF($P$2:$P94,1)+COUNTIF($P$2:$P94,"Y")+COUNTIF($P$2:$P94,"Yes")+COUNTIF($P$2:$P94,"✔")+COUNTIF($P$2:$P94,"☒")+COUNTIF($P$2:$P94,"X"),"")</f>
        <v/>
      </c>
    </row>
    <row r="95" spans="1:22" ht="14.15" customHeight="1" x14ac:dyDescent="0.25">
      <c r="A95" s="93" t="str">
        <f t="shared" si="9"/>
        <v/>
      </c>
      <c r="B95" s="45"/>
      <c r="C95" s="45"/>
      <c r="D95" s="45"/>
      <c r="E95" s="45"/>
      <c r="F95" s="45"/>
      <c r="G95" s="45"/>
      <c r="H95" s="45"/>
      <c r="I95" s="46"/>
      <c r="J95" s="46"/>
      <c r="K95" s="38" t="str">
        <f t="shared" si="10"/>
        <v/>
      </c>
      <c r="L95" s="46"/>
      <c r="M95" s="46"/>
      <c r="N95" s="45"/>
      <c r="O95" s="47"/>
      <c r="P95" s="74" t="b">
        <v>0</v>
      </c>
      <c r="Q95" s="46"/>
      <c r="R95" s="46"/>
      <c r="S95" s="38" t="str">
        <f t="shared" si="11"/>
        <v/>
      </c>
      <c r="T95" s="38" t="str">
        <f t="shared" ca="1" si="12"/>
        <v/>
      </c>
      <c r="U95" s="94"/>
      <c r="V95" t="str">
        <f>IF(AND(OR($P95="☑",$P95=TRUE,$P95=1,$P95="Y",$P95="Yes",$P95="✔",$P95="☒",$P95="X"),$D95&lt;&gt;""),COUNTIF($P$2:$P95,"☑")+COUNTIF($P$2:$P95,TRUE)+COUNTIF($P$2:$P95,1)+COUNTIF($P$2:$P95,"Y")+COUNTIF($P$2:$P95,"Yes")+COUNTIF($P$2:$P95,"✔")+COUNTIF($P$2:$P95,"☒")+COUNTIF($P$2:$P95,"X"),"")</f>
        <v/>
      </c>
    </row>
    <row r="96" spans="1:22" ht="14.15" customHeight="1" x14ac:dyDescent="0.25">
      <c r="A96" s="93" t="str">
        <f t="shared" si="9"/>
        <v/>
      </c>
      <c r="B96" s="45"/>
      <c r="C96" s="45"/>
      <c r="D96" s="45"/>
      <c r="E96" s="45"/>
      <c r="F96" s="45"/>
      <c r="G96" s="45"/>
      <c r="H96" s="45"/>
      <c r="I96" s="46"/>
      <c r="J96" s="46"/>
      <c r="K96" s="38" t="str">
        <f t="shared" si="10"/>
        <v/>
      </c>
      <c r="L96" s="46"/>
      <c r="M96" s="46"/>
      <c r="N96" s="45"/>
      <c r="O96" s="47"/>
      <c r="P96" s="74" t="b">
        <v>0</v>
      </c>
      <c r="Q96" s="46"/>
      <c r="R96" s="46"/>
      <c r="S96" s="38" t="str">
        <f t="shared" si="11"/>
        <v/>
      </c>
      <c r="T96" s="38" t="str">
        <f t="shared" ca="1" si="12"/>
        <v/>
      </c>
      <c r="U96" s="94"/>
      <c r="V96" t="str">
        <f>IF(AND(OR($P96="☑",$P96=TRUE,$P96=1,$P96="Y",$P96="Yes",$P96="✔",$P96="☒",$P96="X"),$D96&lt;&gt;""),COUNTIF($P$2:$P96,"☑")+COUNTIF($P$2:$P96,TRUE)+COUNTIF($P$2:$P96,1)+COUNTIF($P$2:$P96,"Y")+COUNTIF($P$2:$P96,"Yes")+COUNTIF($P$2:$P96,"✔")+COUNTIF($P$2:$P96,"☒")+COUNTIF($P$2:$P96,"X"),"")</f>
        <v/>
      </c>
    </row>
    <row r="97" spans="1:22" ht="14.15" customHeight="1" x14ac:dyDescent="0.25">
      <c r="A97" s="93" t="str">
        <f t="shared" si="9"/>
        <v/>
      </c>
      <c r="B97" s="45"/>
      <c r="C97" s="45"/>
      <c r="D97" s="45"/>
      <c r="E97" s="45"/>
      <c r="F97" s="45"/>
      <c r="G97" s="45"/>
      <c r="H97" s="45"/>
      <c r="I97" s="46"/>
      <c r="J97" s="46"/>
      <c r="K97" s="38" t="str">
        <f t="shared" si="10"/>
        <v/>
      </c>
      <c r="L97" s="46"/>
      <c r="M97" s="46"/>
      <c r="N97" s="45"/>
      <c r="O97" s="47"/>
      <c r="P97" s="74" t="b">
        <v>0</v>
      </c>
      <c r="Q97" s="46"/>
      <c r="R97" s="46"/>
      <c r="S97" s="38" t="str">
        <f t="shared" si="11"/>
        <v/>
      </c>
      <c r="T97" s="38" t="str">
        <f t="shared" ca="1" si="12"/>
        <v/>
      </c>
      <c r="U97" s="94"/>
      <c r="V97" t="str">
        <f>IF(AND(OR($P97="☑",$P97=TRUE,$P97=1,$P97="Y",$P97="Yes",$P97="✔",$P97="☒",$P97="X"),$D97&lt;&gt;""),COUNTIF($P$2:$P97,"☑")+COUNTIF($P$2:$P97,TRUE)+COUNTIF($P$2:$P97,1)+COUNTIF($P$2:$P97,"Y")+COUNTIF($P$2:$P97,"Yes")+COUNTIF($P$2:$P97,"✔")+COUNTIF($P$2:$P97,"☒")+COUNTIF($P$2:$P97,"X"),"")</f>
        <v/>
      </c>
    </row>
    <row r="98" spans="1:22" ht="14.15" customHeight="1" x14ac:dyDescent="0.25">
      <c r="A98" s="93" t="str">
        <f t="shared" ref="A98:A129" si="13">IF(D98="","","T-"&amp;TEXT(ROW()-1,"000"))</f>
        <v/>
      </c>
      <c r="B98" s="45"/>
      <c r="C98" s="45"/>
      <c r="D98" s="45"/>
      <c r="E98" s="45"/>
      <c r="F98" s="45"/>
      <c r="G98" s="45"/>
      <c r="H98" s="45"/>
      <c r="I98" s="46"/>
      <c r="J98" s="46"/>
      <c r="K98" s="38" t="str">
        <f t="shared" ref="K98:K129" si="14">IF(OR(I98="",J98=""),"",J98-I98+1)</f>
        <v/>
      </c>
      <c r="L98" s="46"/>
      <c r="M98" s="46"/>
      <c r="N98" s="45"/>
      <c r="O98" s="47"/>
      <c r="P98" s="74" t="b">
        <v>0</v>
      </c>
      <c r="Q98" s="46"/>
      <c r="R98" s="46"/>
      <c r="S98" s="38" t="str">
        <f t="shared" ref="S98:S129" si="15">IF(A98="","",IF(OR(R98="",J98=""),"",IF(M98&lt;&gt;"",M98-R98,J98-R98)))</f>
        <v/>
      </c>
      <c r="T98" s="38" t="str">
        <f t="shared" ref="T98:T129" ca="1" si="16">IF(A98="","",IF(N98="Completed","Green",IF(AND(J98&lt;&gt;"",TODAY()&gt;J98),"Red",IF(AND(J98&lt;&gt;"",TODAY()+3&gt;=J98),"Amber","Green"))))</f>
        <v/>
      </c>
      <c r="U98" s="94"/>
      <c r="V98" t="str">
        <f>IF(AND(OR($P98="☑",$P98=TRUE,$P98=1,$P98="Y",$P98="Yes",$P98="✔",$P98="☒",$P98="X"),$D98&lt;&gt;""),COUNTIF($P$2:$P98,"☑")+COUNTIF($P$2:$P98,TRUE)+COUNTIF($P$2:$P98,1)+COUNTIF($P$2:$P98,"Y")+COUNTIF($P$2:$P98,"Yes")+COUNTIF($P$2:$P98,"✔")+COUNTIF($P$2:$P98,"☒")+COUNTIF($P$2:$P98,"X"),"")</f>
        <v/>
      </c>
    </row>
    <row r="99" spans="1:22" ht="14.15" customHeight="1" x14ac:dyDescent="0.25">
      <c r="A99" s="93" t="str">
        <f t="shared" si="13"/>
        <v/>
      </c>
      <c r="B99" s="45"/>
      <c r="C99" s="45"/>
      <c r="D99" s="45"/>
      <c r="E99" s="45"/>
      <c r="F99" s="45"/>
      <c r="G99" s="45"/>
      <c r="H99" s="45"/>
      <c r="I99" s="46"/>
      <c r="J99" s="46"/>
      <c r="K99" s="38" t="str">
        <f t="shared" si="14"/>
        <v/>
      </c>
      <c r="L99" s="46"/>
      <c r="M99" s="46"/>
      <c r="N99" s="45"/>
      <c r="O99" s="47"/>
      <c r="P99" s="74" t="b">
        <v>0</v>
      </c>
      <c r="Q99" s="46"/>
      <c r="R99" s="46"/>
      <c r="S99" s="38" t="str">
        <f t="shared" si="15"/>
        <v/>
      </c>
      <c r="T99" s="38" t="str">
        <f t="shared" ca="1" si="16"/>
        <v/>
      </c>
      <c r="U99" s="94"/>
      <c r="V99" t="str">
        <f>IF(AND(OR($P99="☑",$P99=TRUE,$P99=1,$P99="Y",$P99="Yes",$P99="✔",$P99="☒",$P99="X"),$D99&lt;&gt;""),COUNTIF($P$2:$P99,"☑")+COUNTIF($P$2:$P99,TRUE)+COUNTIF($P$2:$P99,1)+COUNTIF($P$2:$P99,"Y")+COUNTIF($P$2:$P99,"Yes")+COUNTIF($P$2:$P99,"✔")+COUNTIF($P$2:$P99,"☒")+COUNTIF($P$2:$P99,"X"),"")</f>
        <v/>
      </c>
    </row>
    <row r="100" spans="1:22" ht="14.15" customHeight="1" x14ac:dyDescent="0.25">
      <c r="A100" s="93" t="str">
        <f t="shared" si="13"/>
        <v/>
      </c>
      <c r="B100" s="45"/>
      <c r="C100" s="45"/>
      <c r="D100" s="45"/>
      <c r="E100" s="45"/>
      <c r="F100" s="45"/>
      <c r="G100" s="45"/>
      <c r="H100" s="45"/>
      <c r="I100" s="46"/>
      <c r="J100" s="46"/>
      <c r="K100" s="38" t="str">
        <f t="shared" si="14"/>
        <v/>
      </c>
      <c r="L100" s="46"/>
      <c r="M100" s="46"/>
      <c r="N100" s="45"/>
      <c r="O100" s="47"/>
      <c r="P100" s="74" t="b">
        <v>0</v>
      </c>
      <c r="Q100" s="46"/>
      <c r="R100" s="46"/>
      <c r="S100" s="38" t="str">
        <f t="shared" si="15"/>
        <v/>
      </c>
      <c r="T100" s="38" t="str">
        <f t="shared" ca="1" si="16"/>
        <v/>
      </c>
      <c r="U100" s="94"/>
      <c r="V100" t="str">
        <f>IF(AND(OR($P100="☑",$P100=TRUE,$P100=1,$P100="Y",$P100="Yes",$P100="✔",$P100="☒",$P100="X"),$D100&lt;&gt;""),COUNTIF($P$2:$P100,"☑")+COUNTIF($P$2:$P100,TRUE)+COUNTIF($P$2:$P100,1)+COUNTIF($P$2:$P100,"Y")+COUNTIF($P$2:$P100,"Yes")+COUNTIF($P$2:$P100,"✔")+COUNTIF($P$2:$P100,"☒")+COUNTIF($P$2:$P100,"X"),"")</f>
        <v/>
      </c>
    </row>
    <row r="101" spans="1:22" ht="14.15" customHeight="1" x14ac:dyDescent="0.25">
      <c r="A101" s="93" t="str">
        <f t="shared" si="13"/>
        <v/>
      </c>
      <c r="B101" s="45"/>
      <c r="C101" s="45"/>
      <c r="D101" s="45"/>
      <c r="E101" s="45"/>
      <c r="F101" s="45"/>
      <c r="G101" s="45"/>
      <c r="H101" s="45"/>
      <c r="I101" s="46"/>
      <c r="J101" s="46"/>
      <c r="K101" s="38" t="str">
        <f t="shared" si="14"/>
        <v/>
      </c>
      <c r="L101" s="46"/>
      <c r="M101" s="46"/>
      <c r="N101" s="45"/>
      <c r="O101" s="47"/>
      <c r="P101" s="74" t="b">
        <v>0</v>
      </c>
      <c r="Q101" s="46"/>
      <c r="R101" s="46"/>
      <c r="S101" s="38" t="str">
        <f t="shared" si="15"/>
        <v/>
      </c>
      <c r="T101" s="38" t="str">
        <f t="shared" ca="1" si="16"/>
        <v/>
      </c>
      <c r="U101" s="94"/>
      <c r="V101" t="str">
        <f>IF(AND(OR($P101="☑",$P101=TRUE,$P101=1,$P101="Y",$P101="Yes",$P101="✔",$P101="☒",$P101="X"),$D101&lt;&gt;""),COUNTIF($P$2:$P101,"☑")+COUNTIF($P$2:$P101,TRUE)+COUNTIF($P$2:$P101,1)+COUNTIF($P$2:$P101,"Y")+COUNTIF($P$2:$P101,"Yes")+COUNTIF($P$2:$P101,"✔")+COUNTIF($P$2:$P101,"☒")+COUNTIF($P$2:$P101,"X"),"")</f>
        <v/>
      </c>
    </row>
    <row r="102" spans="1:22" ht="14.15" customHeight="1" x14ac:dyDescent="0.25">
      <c r="A102" s="93" t="str">
        <f t="shared" si="13"/>
        <v/>
      </c>
      <c r="B102" s="45"/>
      <c r="C102" s="45"/>
      <c r="D102" s="45"/>
      <c r="E102" s="45"/>
      <c r="F102" s="45"/>
      <c r="G102" s="45"/>
      <c r="H102" s="45"/>
      <c r="I102" s="46"/>
      <c r="J102" s="46"/>
      <c r="K102" s="38" t="str">
        <f t="shared" si="14"/>
        <v/>
      </c>
      <c r="L102" s="46"/>
      <c r="M102" s="46"/>
      <c r="N102" s="45"/>
      <c r="O102" s="47"/>
      <c r="P102" s="74" t="b">
        <v>0</v>
      </c>
      <c r="Q102" s="46"/>
      <c r="R102" s="46"/>
      <c r="S102" s="38" t="str">
        <f t="shared" si="15"/>
        <v/>
      </c>
      <c r="T102" s="38" t="str">
        <f t="shared" ca="1" si="16"/>
        <v/>
      </c>
      <c r="U102" s="94"/>
      <c r="V102" t="str">
        <f>IF(AND(OR($P102="☑",$P102=TRUE,$P102=1,$P102="Y",$P102="Yes",$P102="✔",$P102="☒",$P102="X"),$D102&lt;&gt;""),COUNTIF($P$2:$P102,"☑")+COUNTIF($P$2:$P102,TRUE)+COUNTIF($P$2:$P102,1)+COUNTIF($P$2:$P102,"Y")+COUNTIF($P$2:$P102,"Yes")+COUNTIF($P$2:$P102,"✔")+COUNTIF($P$2:$P102,"☒")+COUNTIF($P$2:$P102,"X"),"")</f>
        <v/>
      </c>
    </row>
    <row r="103" spans="1:22" ht="14.15" customHeight="1" x14ac:dyDescent="0.25">
      <c r="A103" s="93" t="str">
        <f t="shared" si="13"/>
        <v/>
      </c>
      <c r="B103" s="45"/>
      <c r="C103" s="45"/>
      <c r="D103" s="45"/>
      <c r="E103" s="45"/>
      <c r="F103" s="45"/>
      <c r="G103" s="45"/>
      <c r="H103" s="45"/>
      <c r="I103" s="46"/>
      <c r="J103" s="46"/>
      <c r="K103" s="38" t="str">
        <f t="shared" si="14"/>
        <v/>
      </c>
      <c r="L103" s="46"/>
      <c r="M103" s="46"/>
      <c r="N103" s="45"/>
      <c r="O103" s="47"/>
      <c r="P103" s="74" t="b">
        <v>0</v>
      </c>
      <c r="Q103" s="46"/>
      <c r="R103" s="46"/>
      <c r="S103" s="38" t="str">
        <f t="shared" si="15"/>
        <v/>
      </c>
      <c r="T103" s="38" t="str">
        <f t="shared" ca="1" si="16"/>
        <v/>
      </c>
      <c r="U103" s="94"/>
      <c r="V103" t="str">
        <f>IF(AND(OR($P103="☑",$P103=TRUE,$P103=1,$P103="Y",$P103="Yes",$P103="✔",$P103="☒",$P103="X"),$D103&lt;&gt;""),COUNTIF($P$2:$P103,"☑")+COUNTIF($P$2:$P103,TRUE)+COUNTIF($P$2:$P103,1)+COUNTIF($P$2:$P103,"Y")+COUNTIF($P$2:$P103,"Yes")+COUNTIF($P$2:$P103,"✔")+COUNTIF($P$2:$P103,"☒")+COUNTIF($P$2:$P103,"X"),"")</f>
        <v/>
      </c>
    </row>
    <row r="104" spans="1:22" ht="14.15" customHeight="1" x14ac:dyDescent="0.25">
      <c r="A104" s="93" t="str">
        <f t="shared" si="13"/>
        <v/>
      </c>
      <c r="B104" s="45"/>
      <c r="C104" s="45"/>
      <c r="D104" s="45"/>
      <c r="E104" s="45"/>
      <c r="F104" s="45"/>
      <c r="G104" s="45"/>
      <c r="H104" s="45"/>
      <c r="I104" s="46"/>
      <c r="J104" s="46"/>
      <c r="K104" s="38" t="str">
        <f t="shared" si="14"/>
        <v/>
      </c>
      <c r="L104" s="46"/>
      <c r="M104" s="46"/>
      <c r="N104" s="45"/>
      <c r="O104" s="47"/>
      <c r="P104" s="74" t="b">
        <v>0</v>
      </c>
      <c r="Q104" s="46"/>
      <c r="R104" s="46"/>
      <c r="S104" s="38" t="str">
        <f t="shared" si="15"/>
        <v/>
      </c>
      <c r="T104" s="38" t="str">
        <f t="shared" ca="1" si="16"/>
        <v/>
      </c>
      <c r="U104" s="94"/>
      <c r="V104" t="str">
        <f>IF(AND(OR($P104="☑",$P104=TRUE,$P104=1,$P104="Y",$P104="Yes",$P104="✔",$P104="☒",$P104="X"),$D104&lt;&gt;""),COUNTIF($P$2:$P104,"☑")+COUNTIF($P$2:$P104,TRUE)+COUNTIF($P$2:$P104,1)+COUNTIF($P$2:$P104,"Y")+COUNTIF($P$2:$P104,"Yes")+COUNTIF($P$2:$P104,"✔")+COUNTIF($P$2:$P104,"☒")+COUNTIF($P$2:$P104,"X"),"")</f>
        <v/>
      </c>
    </row>
    <row r="105" spans="1:22" ht="14.15" customHeight="1" x14ac:dyDescent="0.25">
      <c r="A105" s="93" t="str">
        <f t="shared" si="13"/>
        <v/>
      </c>
      <c r="B105" s="45"/>
      <c r="C105" s="45"/>
      <c r="D105" s="45"/>
      <c r="E105" s="45"/>
      <c r="F105" s="45"/>
      <c r="G105" s="45"/>
      <c r="H105" s="45"/>
      <c r="I105" s="46"/>
      <c r="J105" s="46"/>
      <c r="K105" s="38" t="str">
        <f t="shared" si="14"/>
        <v/>
      </c>
      <c r="L105" s="46"/>
      <c r="M105" s="46"/>
      <c r="N105" s="45"/>
      <c r="O105" s="47"/>
      <c r="P105" s="74" t="b">
        <v>0</v>
      </c>
      <c r="Q105" s="46"/>
      <c r="R105" s="46"/>
      <c r="S105" s="38" t="str">
        <f t="shared" si="15"/>
        <v/>
      </c>
      <c r="T105" s="38" t="str">
        <f t="shared" ca="1" si="16"/>
        <v/>
      </c>
      <c r="U105" s="94"/>
      <c r="V105" t="str">
        <f>IF(AND(OR($P105="☑",$P105=TRUE,$P105=1,$P105="Y",$P105="Yes",$P105="✔",$P105="☒",$P105="X"),$D105&lt;&gt;""),COUNTIF($P$2:$P105,"☑")+COUNTIF($P$2:$P105,TRUE)+COUNTIF($P$2:$P105,1)+COUNTIF($P$2:$P105,"Y")+COUNTIF($P$2:$P105,"Yes")+COUNTIF($P$2:$P105,"✔")+COUNTIF($P$2:$P105,"☒")+COUNTIF($P$2:$P105,"X"),"")</f>
        <v/>
      </c>
    </row>
    <row r="106" spans="1:22" ht="14.15" customHeight="1" x14ac:dyDescent="0.25">
      <c r="A106" s="93" t="str">
        <f t="shared" si="13"/>
        <v/>
      </c>
      <c r="B106" s="45"/>
      <c r="C106" s="45"/>
      <c r="D106" s="45"/>
      <c r="E106" s="45"/>
      <c r="F106" s="45"/>
      <c r="G106" s="45"/>
      <c r="H106" s="45"/>
      <c r="I106" s="46"/>
      <c r="J106" s="46"/>
      <c r="K106" s="38" t="str">
        <f t="shared" si="14"/>
        <v/>
      </c>
      <c r="L106" s="46"/>
      <c r="M106" s="46"/>
      <c r="N106" s="45"/>
      <c r="O106" s="47"/>
      <c r="P106" s="74" t="b">
        <v>0</v>
      </c>
      <c r="Q106" s="46"/>
      <c r="R106" s="46"/>
      <c r="S106" s="38" t="str">
        <f t="shared" si="15"/>
        <v/>
      </c>
      <c r="T106" s="38" t="str">
        <f t="shared" ca="1" si="16"/>
        <v/>
      </c>
      <c r="U106" s="94"/>
      <c r="V106" t="str">
        <f>IF(AND(OR($P106="☑",$P106=TRUE,$P106=1,$P106="Y",$P106="Yes",$P106="✔",$P106="☒",$P106="X"),$D106&lt;&gt;""),COUNTIF($P$2:$P106,"☑")+COUNTIF($P$2:$P106,TRUE)+COUNTIF($P$2:$P106,1)+COUNTIF($P$2:$P106,"Y")+COUNTIF($P$2:$P106,"Yes")+COUNTIF($P$2:$P106,"✔")+COUNTIF($P$2:$P106,"☒")+COUNTIF($P$2:$P106,"X"),"")</f>
        <v/>
      </c>
    </row>
    <row r="107" spans="1:22" ht="14.15" customHeight="1" x14ac:dyDescent="0.25">
      <c r="A107" s="93" t="str">
        <f t="shared" si="13"/>
        <v/>
      </c>
      <c r="B107" s="45"/>
      <c r="C107" s="45"/>
      <c r="D107" s="45"/>
      <c r="E107" s="45"/>
      <c r="F107" s="45"/>
      <c r="G107" s="45"/>
      <c r="H107" s="45"/>
      <c r="I107" s="46"/>
      <c r="J107" s="46"/>
      <c r="K107" s="38" t="str">
        <f t="shared" si="14"/>
        <v/>
      </c>
      <c r="L107" s="46"/>
      <c r="M107" s="46"/>
      <c r="N107" s="45"/>
      <c r="O107" s="47"/>
      <c r="P107" s="74" t="b">
        <v>0</v>
      </c>
      <c r="Q107" s="46"/>
      <c r="R107" s="46"/>
      <c r="S107" s="38" t="str">
        <f t="shared" si="15"/>
        <v/>
      </c>
      <c r="T107" s="38" t="str">
        <f t="shared" ca="1" si="16"/>
        <v/>
      </c>
      <c r="U107" s="94"/>
      <c r="V107" t="str">
        <f>IF(AND(OR($P107="☑",$P107=TRUE,$P107=1,$P107="Y",$P107="Yes",$P107="✔",$P107="☒",$P107="X"),$D107&lt;&gt;""),COUNTIF($P$2:$P107,"☑")+COUNTIF($P$2:$P107,TRUE)+COUNTIF($P$2:$P107,1)+COUNTIF($P$2:$P107,"Y")+COUNTIF($P$2:$P107,"Yes")+COUNTIF($P$2:$P107,"✔")+COUNTIF($P$2:$P107,"☒")+COUNTIF($P$2:$P107,"X"),"")</f>
        <v/>
      </c>
    </row>
    <row r="108" spans="1:22" ht="14.15" customHeight="1" x14ac:dyDescent="0.25">
      <c r="A108" s="93" t="str">
        <f t="shared" si="13"/>
        <v/>
      </c>
      <c r="B108" s="45"/>
      <c r="C108" s="45"/>
      <c r="D108" s="45"/>
      <c r="E108" s="45"/>
      <c r="F108" s="45"/>
      <c r="G108" s="45"/>
      <c r="H108" s="45"/>
      <c r="I108" s="46"/>
      <c r="J108" s="46"/>
      <c r="K108" s="38" t="str">
        <f t="shared" si="14"/>
        <v/>
      </c>
      <c r="L108" s="46"/>
      <c r="M108" s="46"/>
      <c r="N108" s="45"/>
      <c r="O108" s="47"/>
      <c r="P108" s="74" t="b">
        <v>0</v>
      </c>
      <c r="Q108" s="46"/>
      <c r="R108" s="46"/>
      <c r="S108" s="38" t="str">
        <f t="shared" si="15"/>
        <v/>
      </c>
      <c r="T108" s="38" t="str">
        <f t="shared" ca="1" si="16"/>
        <v/>
      </c>
      <c r="U108" s="94"/>
      <c r="V108" t="str">
        <f>IF(AND(OR($P108="☑",$P108=TRUE,$P108=1,$P108="Y",$P108="Yes",$P108="✔",$P108="☒",$P108="X"),$D108&lt;&gt;""),COUNTIF($P$2:$P108,"☑")+COUNTIF($P$2:$P108,TRUE)+COUNTIF($P$2:$P108,1)+COUNTIF($P$2:$P108,"Y")+COUNTIF($P$2:$P108,"Yes")+COUNTIF($P$2:$P108,"✔")+COUNTIF($P$2:$P108,"☒")+COUNTIF($P$2:$P108,"X"),"")</f>
        <v/>
      </c>
    </row>
    <row r="109" spans="1:22" ht="14.15" customHeight="1" x14ac:dyDescent="0.25">
      <c r="A109" s="93" t="str">
        <f t="shared" si="13"/>
        <v/>
      </c>
      <c r="B109" s="45"/>
      <c r="C109" s="45"/>
      <c r="D109" s="45"/>
      <c r="E109" s="45"/>
      <c r="F109" s="45"/>
      <c r="G109" s="45"/>
      <c r="H109" s="45"/>
      <c r="I109" s="46"/>
      <c r="J109" s="46"/>
      <c r="K109" s="38" t="str">
        <f t="shared" si="14"/>
        <v/>
      </c>
      <c r="L109" s="46"/>
      <c r="M109" s="46"/>
      <c r="N109" s="45"/>
      <c r="O109" s="47"/>
      <c r="P109" s="74" t="b">
        <v>0</v>
      </c>
      <c r="Q109" s="46"/>
      <c r="R109" s="46"/>
      <c r="S109" s="38" t="str">
        <f t="shared" si="15"/>
        <v/>
      </c>
      <c r="T109" s="38" t="str">
        <f t="shared" ca="1" si="16"/>
        <v/>
      </c>
      <c r="U109" s="94"/>
      <c r="V109" t="str">
        <f>IF(AND(OR($P109="☑",$P109=TRUE,$P109=1,$P109="Y",$P109="Yes",$P109="✔",$P109="☒",$P109="X"),$D109&lt;&gt;""),COUNTIF($P$2:$P109,"☑")+COUNTIF($P$2:$P109,TRUE)+COUNTIF($P$2:$P109,1)+COUNTIF($P$2:$P109,"Y")+COUNTIF($P$2:$P109,"Yes")+COUNTIF($P$2:$P109,"✔")+COUNTIF($P$2:$P109,"☒")+COUNTIF($P$2:$P109,"X"),"")</f>
        <v/>
      </c>
    </row>
    <row r="110" spans="1:22" ht="14.15" customHeight="1" x14ac:dyDescent="0.25">
      <c r="A110" s="93" t="str">
        <f t="shared" si="13"/>
        <v/>
      </c>
      <c r="B110" s="45"/>
      <c r="C110" s="45"/>
      <c r="D110" s="45"/>
      <c r="E110" s="45"/>
      <c r="F110" s="45"/>
      <c r="G110" s="45"/>
      <c r="H110" s="45"/>
      <c r="I110" s="46"/>
      <c r="J110" s="46"/>
      <c r="K110" s="38" t="str">
        <f t="shared" si="14"/>
        <v/>
      </c>
      <c r="L110" s="46"/>
      <c r="M110" s="46"/>
      <c r="N110" s="45"/>
      <c r="O110" s="47"/>
      <c r="P110" s="74" t="b">
        <v>0</v>
      </c>
      <c r="Q110" s="46"/>
      <c r="R110" s="46"/>
      <c r="S110" s="38" t="str">
        <f t="shared" si="15"/>
        <v/>
      </c>
      <c r="T110" s="38" t="str">
        <f t="shared" ca="1" si="16"/>
        <v/>
      </c>
      <c r="U110" s="94"/>
      <c r="V110" t="str">
        <f>IF(AND(OR($P110="☑",$P110=TRUE,$P110=1,$P110="Y",$P110="Yes",$P110="✔",$P110="☒",$P110="X"),$D110&lt;&gt;""),COUNTIF($P$2:$P110,"☑")+COUNTIF($P$2:$P110,TRUE)+COUNTIF($P$2:$P110,1)+COUNTIF($P$2:$P110,"Y")+COUNTIF($P$2:$P110,"Yes")+COUNTIF($P$2:$P110,"✔")+COUNTIF($P$2:$P110,"☒")+COUNTIF($P$2:$P110,"X"),"")</f>
        <v/>
      </c>
    </row>
    <row r="111" spans="1:22" ht="14.15" customHeight="1" x14ac:dyDescent="0.25">
      <c r="A111" s="93" t="str">
        <f t="shared" si="13"/>
        <v/>
      </c>
      <c r="B111" s="45"/>
      <c r="C111" s="45"/>
      <c r="D111" s="45"/>
      <c r="E111" s="45"/>
      <c r="F111" s="45"/>
      <c r="G111" s="45"/>
      <c r="H111" s="45"/>
      <c r="I111" s="46"/>
      <c r="J111" s="46"/>
      <c r="K111" s="38" t="str">
        <f t="shared" si="14"/>
        <v/>
      </c>
      <c r="L111" s="46"/>
      <c r="M111" s="46"/>
      <c r="N111" s="45"/>
      <c r="O111" s="47"/>
      <c r="P111" s="74" t="b">
        <v>0</v>
      </c>
      <c r="Q111" s="46"/>
      <c r="R111" s="46"/>
      <c r="S111" s="38" t="str">
        <f t="shared" si="15"/>
        <v/>
      </c>
      <c r="T111" s="38" t="str">
        <f t="shared" ca="1" si="16"/>
        <v/>
      </c>
      <c r="U111" s="94"/>
      <c r="V111" t="str">
        <f>IF(AND(OR($P111="☑",$P111=TRUE,$P111=1,$P111="Y",$P111="Yes",$P111="✔",$P111="☒",$P111="X"),$D111&lt;&gt;""),COUNTIF($P$2:$P111,"☑")+COUNTIF($P$2:$P111,TRUE)+COUNTIF($P$2:$P111,1)+COUNTIF($P$2:$P111,"Y")+COUNTIF($P$2:$P111,"Yes")+COUNTIF($P$2:$P111,"✔")+COUNTIF($P$2:$P111,"☒")+COUNTIF($P$2:$P111,"X"),"")</f>
        <v/>
      </c>
    </row>
    <row r="112" spans="1:22" ht="14.15" customHeight="1" x14ac:dyDescent="0.25">
      <c r="A112" s="93" t="str">
        <f t="shared" si="13"/>
        <v/>
      </c>
      <c r="B112" s="45"/>
      <c r="C112" s="45"/>
      <c r="D112" s="45"/>
      <c r="E112" s="45"/>
      <c r="F112" s="45"/>
      <c r="G112" s="45"/>
      <c r="H112" s="45"/>
      <c r="I112" s="46"/>
      <c r="J112" s="46"/>
      <c r="K112" s="38" t="str">
        <f t="shared" si="14"/>
        <v/>
      </c>
      <c r="L112" s="46"/>
      <c r="M112" s="46"/>
      <c r="N112" s="45"/>
      <c r="O112" s="47"/>
      <c r="P112" s="74" t="b">
        <v>0</v>
      </c>
      <c r="Q112" s="46"/>
      <c r="R112" s="46"/>
      <c r="S112" s="38" t="str">
        <f t="shared" si="15"/>
        <v/>
      </c>
      <c r="T112" s="38" t="str">
        <f t="shared" ca="1" si="16"/>
        <v/>
      </c>
      <c r="U112" s="94"/>
      <c r="V112" t="str">
        <f>IF(AND(OR($P112="☑",$P112=TRUE,$P112=1,$P112="Y",$P112="Yes",$P112="✔",$P112="☒",$P112="X"),$D112&lt;&gt;""),COUNTIF($P$2:$P112,"☑")+COUNTIF($P$2:$P112,TRUE)+COUNTIF($P$2:$P112,1)+COUNTIF($P$2:$P112,"Y")+COUNTIF($P$2:$P112,"Yes")+COUNTIF($P$2:$P112,"✔")+COUNTIF($P$2:$P112,"☒")+COUNTIF($P$2:$P112,"X"),"")</f>
        <v/>
      </c>
    </row>
    <row r="113" spans="1:22" ht="14.15" customHeight="1" x14ac:dyDescent="0.25">
      <c r="A113" s="93" t="str">
        <f t="shared" si="13"/>
        <v/>
      </c>
      <c r="B113" s="45"/>
      <c r="C113" s="45"/>
      <c r="D113" s="45"/>
      <c r="E113" s="45"/>
      <c r="F113" s="45"/>
      <c r="G113" s="45"/>
      <c r="H113" s="45"/>
      <c r="I113" s="46"/>
      <c r="J113" s="46"/>
      <c r="K113" s="38" t="str">
        <f t="shared" si="14"/>
        <v/>
      </c>
      <c r="L113" s="46"/>
      <c r="M113" s="46"/>
      <c r="N113" s="45"/>
      <c r="O113" s="47"/>
      <c r="P113" s="74" t="b">
        <v>0</v>
      </c>
      <c r="Q113" s="46"/>
      <c r="R113" s="46"/>
      <c r="S113" s="38" t="str">
        <f t="shared" si="15"/>
        <v/>
      </c>
      <c r="T113" s="38" t="str">
        <f t="shared" ca="1" si="16"/>
        <v/>
      </c>
      <c r="U113" s="94"/>
      <c r="V113" t="str">
        <f>IF(AND(OR($P113="☑",$P113=TRUE,$P113=1,$P113="Y",$P113="Yes",$P113="✔",$P113="☒",$P113="X"),$D113&lt;&gt;""),COUNTIF($P$2:$P113,"☑")+COUNTIF($P$2:$P113,TRUE)+COUNTIF($P$2:$P113,1)+COUNTIF($P$2:$P113,"Y")+COUNTIF($P$2:$P113,"Yes")+COUNTIF($P$2:$P113,"✔")+COUNTIF($P$2:$P113,"☒")+COUNTIF($P$2:$P113,"X"),"")</f>
        <v/>
      </c>
    </row>
    <row r="114" spans="1:22" ht="14.15" customHeight="1" x14ac:dyDescent="0.25">
      <c r="A114" s="93" t="str">
        <f t="shared" si="13"/>
        <v/>
      </c>
      <c r="B114" s="45"/>
      <c r="C114" s="45"/>
      <c r="D114" s="45"/>
      <c r="E114" s="45"/>
      <c r="F114" s="45"/>
      <c r="G114" s="45"/>
      <c r="H114" s="45"/>
      <c r="I114" s="46"/>
      <c r="J114" s="46"/>
      <c r="K114" s="38" t="str">
        <f t="shared" si="14"/>
        <v/>
      </c>
      <c r="L114" s="46"/>
      <c r="M114" s="46"/>
      <c r="N114" s="45"/>
      <c r="O114" s="47"/>
      <c r="P114" s="74" t="b">
        <v>0</v>
      </c>
      <c r="Q114" s="46"/>
      <c r="R114" s="46"/>
      <c r="S114" s="38" t="str">
        <f t="shared" si="15"/>
        <v/>
      </c>
      <c r="T114" s="38" t="str">
        <f t="shared" ca="1" si="16"/>
        <v/>
      </c>
      <c r="U114" s="94"/>
      <c r="V114" t="str">
        <f>IF(AND(OR($P114="☑",$P114=TRUE,$P114=1,$P114="Y",$P114="Yes",$P114="✔",$P114="☒",$P114="X"),$D114&lt;&gt;""),COUNTIF($P$2:$P114,"☑")+COUNTIF($P$2:$P114,TRUE)+COUNTIF($P$2:$P114,1)+COUNTIF($P$2:$P114,"Y")+COUNTIF($P$2:$P114,"Yes")+COUNTIF($P$2:$P114,"✔")+COUNTIF($P$2:$P114,"☒")+COUNTIF($P$2:$P114,"X"),"")</f>
        <v/>
      </c>
    </row>
    <row r="115" spans="1:22" ht="14.15" customHeight="1" x14ac:dyDescent="0.25">
      <c r="A115" s="93" t="str">
        <f t="shared" si="13"/>
        <v/>
      </c>
      <c r="B115" s="45"/>
      <c r="C115" s="45"/>
      <c r="D115" s="45"/>
      <c r="E115" s="45"/>
      <c r="F115" s="45"/>
      <c r="G115" s="45"/>
      <c r="H115" s="45"/>
      <c r="I115" s="46"/>
      <c r="J115" s="46"/>
      <c r="K115" s="38" t="str">
        <f t="shared" si="14"/>
        <v/>
      </c>
      <c r="L115" s="46"/>
      <c r="M115" s="46"/>
      <c r="N115" s="45"/>
      <c r="O115" s="47"/>
      <c r="P115" s="74" t="b">
        <v>0</v>
      </c>
      <c r="Q115" s="46"/>
      <c r="R115" s="46"/>
      <c r="S115" s="38" t="str">
        <f t="shared" si="15"/>
        <v/>
      </c>
      <c r="T115" s="38" t="str">
        <f t="shared" ca="1" si="16"/>
        <v/>
      </c>
      <c r="U115" s="94"/>
      <c r="V115" t="str">
        <f>IF(AND(OR($P115="☑",$P115=TRUE,$P115=1,$P115="Y",$P115="Yes",$P115="✔",$P115="☒",$P115="X"),$D115&lt;&gt;""),COUNTIF($P$2:$P115,"☑")+COUNTIF($P$2:$P115,TRUE)+COUNTIF($P$2:$P115,1)+COUNTIF($P$2:$P115,"Y")+COUNTIF($P$2:$P115,"Yes")+COUNTIF($P$2:$P115,"✔")+COUNTIF($P$2:$P115,"☒")+COUNTIF($P$2:$P115,"X"),"")</f>
        <v/>
      </c>
    </row>
    <row r="116" spans="1:22" ht="14.15" customHeight="1" x14ac:dyDescent="0.25">
      <c r="A116" s="93" t="str">
        <f t="shared" si="13"/>
        <v/>
      </c>
      <c r="B116" s="45"/>
      <c r="C116" s="45"/>
      <c r="D116" s="45"/>
      <c r="E116" s="45"/>
      <c r="F116" s="45"/>
      <c r="G116" s="45"/>
      <c r="H116" s="45"/>
      <c r="I116" s="46"/>
      <c r="J116" s="46"/>
      <c r="K116" s="38" t="str">
        <f t="shared" si="14"/>
        <v/>
      </c>
      <c r="L116" s="46"/>
      <c r="M116" s="46"/>
      <c r="N116" s="45"/>
      <c r="O116" s="47"/>
      <c r="P116" s="74" t="b">
        <v>0</v>
      </c>
      <c r="Q116" s="46"/>
      <c r="R116" s="46"/>
      <c r="S116" s="38" t="str">
        <f t="shared" si="15"/>
        <v/>
      </c>
      <c r="T116" s="38" t="str">
        <f t="shared" ca="1" si="16"/>
        <v/>
      </c>
      <c r="U116" s="94"/>
      <c r="V116" t="str">
        <f>IF(AND(OR($P116="☑",$P116=TRUE,$P116=1,$P116="Y",$P116="Yes",$P116="✔",$P116="☒",$P116="X"),$D116&lt;&gt;""),COUNTIF($P$2:$P116,"☑")+COUNTIF($P$2:$P116,TRUE)+COUNTIF($P$2:$P116,1)+COUNTIF($P$2:$P116,"Y")+COUNTIF($P$2:$P116,"Yes")+COUNTIF($P$2:$P116,"✔")+COUNTIF($P$2:$P116,"☒")+COUNTIF($P$2:$P116,"X"),"")</f>
        <v/>
      </c>
    </row>
    <row r="117" spans="1:22" ht="14.15" customHeight="1" x14ac:dyDescent="0.25">
      <c r="A117" s="93" t="str">
        <f t="shared" si="13"/>
        <v/>
      </c>
      <c r="B117" s="45"/>
      <c r="C117" s="45"/>
      <c r="D117" s="45"/>
      <c r="E117" s="45"/>
      <c r="F117" s="45"/>
      <c r="G117" s="45"/>
      <c r="H117" s="45"/>
      <c r="I117" s="46"/>
      <c r="J117" s="46"/>
      <c r="K117" s="38" t="str">
        <f t="shared" si="14"/>
        <v/>
      </c>
      <c r="L117" s="46"/>
      <c r="M117" s="46"/>
      <c r="N117" s="45"/>
      <c r="O117" s="47"/>
      <c r="P117" s="74" t="b">
        <v>0</v>
      </c>
      <c r="Q117" s="46"/>
      <c r="R117" s="46"/>
      <c r="S117" s="38" t="str">
        <f t="shared" si="15"/>
        <v/>
      </c>
      <c r="T117" s="38" t="str">
        <f t="shared" ca="1" si="16"/>
        <v/>
      </c>
      <c r="U117" s="94"/>
      <c r="V117" t="str">
        <f>IF(AND(OR($P117="☑",$P117=TRUE,$P117=1,$P117="Y",$P117="Yes",$P117="✔",$P117="☒",$P117="X"),$D117&lt;&gt;""),COUNTIF($P$2:$P117,"☑")+COUNTIF($P$2:$P117,TRUE)+COUNTIF($P$2:$P117,1)+COUNTIF($P$2:$P117,"Y")+COUNTIF($P$2:$P117,"Yes")+COUNTIF($P$2:$P117,"✔")+COUNTIF($P$2:$P117,"☒")+COUNTIF($P$2:$P117,"X"),"")</f>
        <v/>
      </c>
    </row>
    <row r="118" spans="1:22" ht="14.15" customHeight="1" x14ac:dyDescent="0.25">
      <c r="A118" s="93" t="str">
        <f t="shared" si="13"/>
        <v/>
      </c>
      <c r="B118" s="45"/>
      <c r="C118" s="45"/>
      <c r="D118" s="45"/>
      <c r="E118" s="45"/>
      <c r="F118" s="45"/>
      <c r="G118" s="45"/>
      <c r="H118" s="45"/>
      <c r="I118" s="46"/>
      <c r="J118" s="46"/>
      <c r="K118" s="38" t="str">
        <f t="shared" si="14"/>
        <v/>
      </c>
      <c r="L118" s="46"/>
      <c r="M118" s="46"/>
      <c r="N118" s="45"/>
      <c r="O118" s="47"/>
      <c r="P118" s="74" t="b">
        <v>0</v>
      </c>
      <c r="Q118" s="46"/>
      <c r="R118" s="46"/>
      <c r="S118" s="38" t="str">
        <f t="shared" si="15"/>
        <v/>
      </c>
      <c r="T118" s="38" t="str">
        <f t="shared" ca="1" si="16"/>
        <v/>
      </c>
      <c r="U118" s="94"/>
      <c r="V118" t="str">
        <f>IF(AND(OR($P118="☑",$P118=TRUE,$P118=1,$P118="Y",$P118="Yes",$P118="✔",$P118="☒",$P118="X"),$D118&lt;&gt;""),COUNTIF($P$2:$P118,"☑")+COUNTIF($P$2:$P118,TRUE)+COUNTIF($P$2:$P118,1)+COUNTIF($P$2:$P118,"Y")+COUNTIF($P$2:$P118,"Yes")+COUNTIF($P$2:$P118,"✔")+COUNTIF($P$2:$P118,"☒")+COUNTIF($P$2:$P118,"X"),"")</f>
        <v/>
      </c>
    </row>
    <row r="119" spans="1:22" ht="14.15" customHeight="1" x14ac:dyDescent="0.25">
      <c r="A119" s="93" t="str">
        <f t="shared" si="13"/>
        <v/>
      </c>
      <c r="B119" s="45"/>
      <c r="C119" s="45"/>
      <c r="D119" s="45"/>
      <c r="E119" s="45"/>
      <c r="F119" s="45"/>
      <c r="G119" s="45"/>
      <c r="H119" s="45"/>
      <c r="I119" s="46"/>
      <c r="J119" s="46"/>
      <c r="K119" s="38" t="str">
        <f t="shared" si="14"/>
        <v/>
      </c>
      <c r="L119" s="46"/>
      <c r="M119" s="46"/>
      <c r="N119" s="45"/>
      <c r="O119" s="47"/>
      <c r="P119" s="74" t="b">
        <v>0</v>
      </c>
      <c r="Q119" s="46"/>
      <c r="R119" s="46"/>
      <c r="S119" s="38" t="str">
        <f t="shared" si="15"/>
        <v/>
      </c>
      <c r="T119" s="38" t="str">
        <f t="shared" ca="1" si="16"/>
        <v/>
      </c>
      <c r="U119" s="94"/>
      <c r="V119" t="str">
        <f>IF(AND(OR($P119="☑",$P119=TRUE,$P119=1,$P119="Y",$P119="Yes",$P119="✔",$P119="☒",$P119="X"),$D119&lt;&gt;""),COUNTIF($P$2:$P119,"☑")+COUNTIF($P$2:$P119,TRUE)+COUNTIF($P$2:$P119,1)+COUNTIF($P$2:$P119,"Y")+COUNTIF($P$2:$P119,"Yes")+COUNTIF($P$2:$P119,"✔")+COUNTIF($P$2:$P119,"☒")+COUNTIF($P$2:$P119,"X"),"")</f>
        <v/>
      </c>
    </row>
    <row r="120" spans="1:22" ht="14.15" customHeight="1" x14ac:dyDescent="0.25">
      <c r="A120" s="93" t="str">
        <f t="shared" si="13"/>
        <v/>
      </c>
      <c r="B120" s="45"/>
      <c r="C120" s="45"/>
      <c r="D120" s="45"/>
      <c r="E120" s="45"/>
      <c r="F120" s="45"/>
      <c r="G120" s="45"/>
      <c r="H120" s="45"/>
      <c r="I120" s="46"/>
      <c r="J120" s="46"/>
      <c r="K120" s="38" t="str">
        <f t="shared" si="14"/>
        <v/>
      </c>
      <c r="L120" s="46"/>
      <c r="M120" s="46"/>
      <c r="N120" s="45"/>
      <c r="O120" s="47"/>
      <c r="P120" s="74" t="b">
        <v>0</v>
      </c>
      <c r="Q120" s="46"/>
      <c r="R120" s="46"/>
      <c r="S120" s="38" t="str">
        <f t="shared" si="15"/>
        <v/>
      </c>
      <c r="T120" s="38" t="str">
        <f t="shared" ca="1" si="16"/>
        <v/>
      </c>
      <c r="U120" s="94"/>
      <c r="V120" t="str">
        <f>IF(AND(OR($P120="☑",$P120=TRUE,$P120=1,$P120="Y",$P120="Yes",$P120="✔",$P120="☒",$P120="X"),$D120&lt;&gt;""),COUNTIF($P$2:$P120,"☑")+COUNTIF($P$2:$P120,TRUE)+COUNTIF($P$2:$P120,1)+COUNTIF($P$2:$P120,"Y")+COUNTIF($P$2:$P120,"Yes")+COUNTIF($P$2:$P120,"✔")+COUNTIF($P$2:$P120,"☒")+COUNTIF($P$2:$P120,"X"),"")</f>
        <v/>
      </c>
    </row>
    <row r="121" spans="1:22" ht="14.15" customHeight="1" x14ac:dyDescent="0.25">
      <c r="A121" s="93" t="str">
        <f t="shared" si="13"/>
        <v/>
      </c>
      <c r="B121" s="45"/>
      <c r="C121" s="45"/>
      <c r="D121" s="45"/>
      <c r="E121" s="45"/>
      <c r="F121" s="45"/>
      <c r="G121" s="45"/>
      <c r="H121" s="45"/>
      <c r="I121" s="46"/>
      <c r="J121" s="46"/>
      <c r="K121" s="38" t="str">
        <f t="shared" si="14"/>
        <v/>
      </c>
      <c r="L121" s="46"/>
      <c r="M121" s="46"/>
      <c r="N121" s="45"/>
      <c r="O121" s="47"/>
      <c r="P121" s="74" t="b">
        <v>0</v>
      </c>
      <c r="Q121" s="46"/>
      <c r="R121" s="46"/>
      <c r="S121" s="38" t="str">
        <f t="shared" si="15"/>
        <v/>
      </c>
      <c r="T121" s="38" t="str">
        <f t="shared" ca="1" si="16"/>
        <v/>
      </c>
      <c r="U121" s="94"/>
      <c r="V121" t="str">
        <f>IF(AND(OR($P121="☑",$P121=TRUE,$P121=1,$P121="Y",$P121="Yes",$P121="✔",$P121="☒",$P121="X"),$D121&lt;&gt;""),COUNTIF($P$2:$P121,"☑")+COUNTIF($P$2:$P121,TRUE)+COUNTIF($P$2:$P121,1)+COUNTIF($P$2:$P121,"Y")+COUNTIF($P$2:$P121,"Yes")+COUNTIF($P$2:$P121,"✔")+COUNTIF($P$2:$P121,"☒")+COUNTIF($P$2:$P121,"X"),"")</f>
        <v/>
      </c>
    </row>
    <row r="122" spans="1:22" ht="14.15" customHeight="1" x14ac:dyDescent="0.25">
      <c r="A122" s="93" t="str">
        <f t="shared" si="13"/>
        <v/>
      </c>
      <c r="B122" s="45"/>
      <c r="C122" s="45"/>
      <c r="D122" s="45"/>
      <c r="E122" s="45"/>
      <c r="F122" s="45"/>
      <c r="G122" s="45"/>
      <c r="H122" s="45"/>
      <c r="I122" s="46"/>
      <c r="J122" s="46"/>
      <c r="K122" s="38" t="str">
        <f t="shared" si="14"/>
        <v/>
      </c>
      <c r="L122" s="46"/>
      <c r="M122" s="46"/>
      <c r="N122" s="45"/>
      <c r="O122" s="47"/>
      <c r="P122" s="74" t="b">
        <v>0</v>
      </c>
      <c r="Q122" s="46"/>
      <c r="R122" s="46"/>
      <c r="S122" s="38" t="str">
        <f t="shared" si="15"/>
        <v/>
      </c>
      <c r="T122" s="38" t="str">
        <f t="shared" ca="1" si="16"/>
        <v/>
      </c>
      <c r="U122" s="94"/>
      <c r="V122" t="str">
        <f>IF(AND(OR($P122="☑",$P122=TRUE,$P122=1,$P122="Y",$P122="Yes",$P122="✔",$P122="☒",$P122="X"),$D122&lt;&gt;""),COUNTIF($P$2:$P122,"☑")+COUNTIF($P$2:$P122,TRUE)+COUNTIF($P$2:$P122,1)+COUNTIF($P$2:$P122,"Y")+COUNTIF($P$2:$P122,"Yes")+COUNTIF($P$2:$P122,"✔")+COUNTIF($P$2:$P122,"☒")+COUNTIF($P$2:$P122,"X"),"")</f>
        <v/>
      </c>
    </row>
    <row r="123" spans="1:22" ht="14.15" customHeight="1" x14ac:dyDescent="0.25">
      <c r="A123" s="93" t="str">
        <f t="shared" si="13"/>
        <v/>
      </c>
      <c r="B123" s="45"/>
      <c r="C123" s="45"/>
      <c r="D123" s="45"/>
      <c r="E123" s="45"/>
      <c r="F123" s="45"/>
      <c r="G123" s="45"/>
      <c r="H123" s="45"/>
      <c r="I123" s="46"/>
      <c r="J123" s="46"/>
      <c r="K123" s="38" t="str">
        <f t="shared" si="14"/>
        <v/>
      </c>
      <c r="L123" s="46"/>
      <c r="M123" s="46"/>
      <c r="N123" s="45"/>
      <c r="O123" s="47"/>
      <c r="P123" s="74" t="b">
        <v>0</v>
      </c>
      <c r="Q123" s="46"/>
      <c r="R123" s="46"/>
      <c r="S123" s="38" t="str">
        <f t="shared" si="15"/>
        <v/>
      </c>
      <c r="T123" s="38" t="str">
        <f t="shared" ca="1" si="16"/>
        <v/>
      </c>
      <c r="U123" s="94"/>
      <c r="V123" t="str">
        <f>IF(AND(OR($P123="☑",$P123=TRUE,$P123=1,$P123="Y",$P123="Yes",$P123="✔",$P123="☒",$P123="X"),$D123&lt;&gt;""),COUNTIF($P$2:$P123,"☑")+COUNTIF($P$2:$P123,TRUE)+COUNTIF($P$2:$P123,1)+COUNTIF($P$2:$P123,"Y")+COUNTIF($P$2:$P123,"Yes")+COUNTIF($P$2:$P123,"✔")+COUNTIF($P$2:$P123,"☒")+COUNTIF($P$2:$P123,"X"),"")</f>
        <v/>
      </c>
    </row>
    <row r="124" spans="1:22" ht="14.15" customHeight="1" x14ac:dyDescent="0.25">
      <c r="A124" s="93" t="str">
        <f t="shared" si="13"/>
        <v/>
      </c>
      <c r="B124" s="45"/>
      <c r="C124" s="45"/>
      <c r="D124" s="45"/>
      <c r="E124" s="45"/>
      <c r="F124" s="45"/>
      <c r="G124" s="45"/>
      <c r="H124" s="45"/>
      <c r="I124" s="46"/>
      <c r="J124" s="46"/>
      <c r="K124" s="38" t="str">
        <f t="shared" si="14"/>
        <v/>
      </c>
      <c r="L124" s="46"/>
      <c r="M124" s="46"/>
      <c r="N124" s="45"/>
      <c r="O124" s="47"/>
      <c r="P124" s="74" t="b">
        <v>0</v>
      </c>
      <c r="Q124" s="46"/>
      <c r="R124" s="46"/>
      <c r="S124" s="38" t="str">
        <f t="shared" si="15"/>
        <v/>
      </c>
      <c r="T124" s="38" t="str">
        <f t="shared" ca="1" si="16"/>
        <v/>
      </c>
      <c r="U124" s="94"/>
      <c r="V124" t="str">
        <f>IF(AND(OR($P124="☑",$P124=TRUE,$P124=1,$P124="Y",$P124="Yes",$P124="✔",$P124="☒",$P124="X"),$D124&lt;&gt;""),COUNTIF($P$2:$P124,"☑")+COUNTIF($P$2:$P124,TRUE)+COUNTIF($P$2:$P124,1)+COUNTIF($P$2:$P124,"Y")+COUNTIF($P$2:$P124,"Yes")+COUNTIF($P$2:$P124,"✔")+COUNTIF($P$2:$P124,"☒")+COUNTIF($P$2:$P124,"X"),"")</f>
        <v/>
      </c>
    </row>
    <row r="125" spans="1:22" ht="14.15" customHeight="1" x14ac:dyDescent="0.25">
      <c r="A125" s="93" t="str">
        <f t="shared" si="13"/>
        <v/>
      </c>
      <c r="B125" s="45"/>
      <c r="C125" s="45"/>
      <c r="D125" s="45"/>
      <c r="E125" s="45"/>
      <c r="F125" s="45"/>
      <c r="G125" s="45"/>
      <c r="H125" s="45"/>
      <c r="I125" s="46"/>
      <c r="J125" s="46"/>
      <c r="K125" s="38" t="str">
        <f t="shared" si="14"/>
        <v/>
      </c>
      <c r="L125" s="46"/>
      <c r="M125" s="46"/>
      <c r="N125" s="45"/>
      <c r="O125" s="47"/>
      <c r="P125" s="74" t="b">
        <v>0</v>
      </c>
      <c r="Q125" s="46"/>
      <c r="R125" s="46"/>
      <c r="S125" s="38" t="str">
        <f t="shared" si="15"/>
        <v/>
      </c>
      <c r="T125" s="38" t="str">
        <f t="shared" ca="1" si="16"/>
        <v/>
      </c>
      <c r="U125" s="94"/>
      <c r="V125" t="str">
        <f>IF(AND(OR($P125="☑",$P125=TRUE,$P125=1,$P125="Y",$P125="Yes",$P125="✔",$P125="☒",$P125="X"),$D125&lt;&gt;""),COUNTIF($P$2:$P125,"☑")+COUNTIF($P$2:$P125,TRUE)+COUNTIF($P$2:$P125,1)+COUNTIF($P$2:$P125,"Y")+COUNTIF($P$2:$P125,"Yes")+COUNTIF($P$2:$P125,"✔")+COUNTIF($P$2:$P125,"☒")+COUNTIF($P$2:$P125,"X"),"")</f>
        <v/>
      </c>
    </row>
    <row r="126" spans="1:22" ht="14.15" customHeight="1" x14ac:dyDescent="0.25">
      <c r="A126" s="93" t="str">
        <f t="shared" si="13"/>
        <v/>
      </c>
      <c r="B126" s="45"/>
      <c r="C126" s="45"/>
      <c r="D126" s="45"/>
      <c r="E126" s="45"/>
      <c r="F126" s="45"/>
      <c r="G126" s="45"/>
      <c r="H126" s="45"/>
      <c r="I126" s="46"/>
      <c r="J126" s="46"/>
      <c r="K126" s="38" t="str">
        <f t="shared" si="14"/>
        <v/>
      </c>
      <c r="L126" s="46"/>
      <c r="M126" s="46"/>
      <c r="N126" s="45"/>
      <c r="O126" s="47"/>
      <c r="P126" s="74" t="b">
        <v>0</v>
      </c>
      <c r="Q126" s="46"/>
      <c r="R126" s="46"/>
      <c r="S126" s="38" t="str">
        <f t="shared" si="15"/>
        <v/>
      </c>
      <c r="T126" s="38" t="str">
        <f t="shared" ca="1" si="16"/>
        <v/>
      </c>
      <c r="U126" s="94"/>
      <c r="V126" t="str">
        <f>IF(AND(OR($P126="☑",$P126=TRUE,$P126=1,$P126="Y",$P126="Yes",$P126="✔",$P126="☒",$P126="X"),$D126&lt;&gt;""),COUNTIF($P$2:$P126,"☑")+COUNTIF($P$2:$P126,TRUE)+COUNTIF($P$2:$P126,1)+COUNTIF($P$2:$P126,"Y")+COUNTIF($P$2:$P126,"Yes")+COUNTIF($P$2:$P126,"✔")+COUNTIF($P$2:$P126,"☒")+COUNTIF($P$2:$P126,"X"),"")</f>
        <v/>
      </c>
    </row>
    <row r="127" spans="1:22" ht="14.15" customHeight="1" x14ac:dyDescent="0.25">
      <c r="A127" s="93" t="str">
        <f t="shared" si="13"/>
        <v/>
      </c>
      <c r="B127" s="45"/>
      <c r="C127" s="45"/>
      <c r="D127" s="45"/>
      <c r="E127" s="45"/>
      <c r="F127" s="45"/>
      <c r="G127" s="45"/>
      <c r="H127" s="45"/>
      <c r="I127" s="46"/>
      <c r="J127" s="46"/>
      <c r="K127" s="38" t="str">
        <f t="shared" si="14"/>
        <v/>
      </c>
      <c r="L127" s="46"/>
      <c r="M127" s="46"/>
      <c r="N127" s="45"/>
      <c r="O127" s="47"/>
      <c r="P127" s="74" t="b">
        <v>0</v>
      </c>
      <c r="Q127" s="46"/>
      <c r="R127" s="46"/>
      <c r="S127" s="38" t="str">
        <f t="shared" si="15"/>
        <v/>
      </c>
      <c r="T127" s="38" t="str">
        <f t="shared" ca="1" si="16"/>
        <v/>
      </c>
      <c r="U127" s="94"/>
      <c r="V127" t="str">
        <f>IF(AND(OR($P127="☑",$P127=TRUE,$P127=1,$P127="Y",$P127="Yes",$P127="✔",$P127="☒",$P127="X"),$D127&lt;&gt;""),COUNTIF($P$2:$P127,"☑")+COUNTIF($P$2:$P127,TRUE)+COUNTIF($P$2:$P127,1)+COUNTIF($P$2:$P127,"Y")+COUNTIF($P$2:$P127,"Yes")+COUNTIF($P$2:$P127,"✔")+COUNTIF($P$2:$P127,"☒")+COUNTIF($P$2:$P127,"X"),"")</f>
        <v/>
      </c>
    </row>
    <row r="128" spans="1:22" ht="14.15" customHeight="1" x14ac:dyDescent="0.25">
      <c r="A128" s="93" t="str">
        <f t="shared" si="13"/>
        <v/>
      </c>
      <c r="B128" s="45"/>
      <c r="C128" s="45"/>
      <c r="D128" s="45"/>
      <c r="E128" s="45"/>
      <c r="F128" s="45"/>
      <c r="G128" s="45"/>
      <c r="H128" s="45"/>
      <c r="I128" s="46"/>
      <c r="J128" s="46"/>
      <c r="K128" s="38" t="str">
        <f t="shared" si="14"/>
        <v/>
      </c>
      <c r="L128" s="46"/>
      <c r="M128" s="46"/>
      <c r="N128" s="45"/>
      <c r="O128" s="47"/>
      <c r="P128" s="74" t="b">
        <v>0</v>
      </c>
      <c r="Q128" s="46"/>
      <c r="R128" s="46"/>
      <c r="S128" s="38" t="str">
        <f t="shared" si="15"/>
        <v/>
      </c>
      <c r="T128" s="38" t="str">
        <f t="shared" ca="1" si="16"/>
        <v/>
      </c>
      <c r="U128" s="94"/>
      <c r="V128" t="str">
        <f>IF(AND(OR($P128="☑",$P128=TRUE,$P128=1,$P128="Y",$P128="Yes",$P128="✔",$P128="☒",$P128="X"),$D128&lt;&gt;""),COUNTIF($P$2:$P128,"☑")+COUNTIF($P$2:$P128,TRUE)+COUNTIF($P$2:$P128,1)+COUNTIF($P$2:$P128,"Y")+COUNTIF($P$2:$P128,"Yes")+COUNTIF($P$2:$P128,"✔")+COUNTIF($P$2:$P128,"☒")+COUNTIF($P$2:$P128,"X"),"")</f>
        <v/>
      </c>
    </row>
    <row r="129" spans="1:22" ht="14.15" customHeight="1" x14ac:dyDescent="0.25">
      <c r="A129" s="93" t="str">
        <f t="shared" si="13"/>
        <v/>
      </c>
      <c r="B129" s="45"/>
      <c r="C129" s="45"/>
      <c r="D129" s="45"/>
      <c r="E129" s="45"/>
      <c r="F129" s="45"/>
      <c r="G129" s="45"/>
      <c r="H129" s="45"/>
      <c r="I129" s="46"/>
      <c r="J129" s="46"/>
      <c r="K129" s="38" t="str">
        <f t="shared" si="14"/>
        <v/>
      </c>
      <c r="L129" s="46"/>
      <c r="M129" s="46"/>
      <c r="N129" s="45"/>
      <c r="O129" s="47"/>
      <c r="P129" s="74" t="b">
        <v>0</v>
      </c>
      <c r="Q129" s="46"/>
      <c r="R129" s="46"/>
      <c r="S129" s="38" t="str">
        <f t="shared" si="15"/>
        <v/>
      </c>
      <c r="T129" s="38" t="str">
        <f t="shared" ca="1" si="16"/>
        <v/>
      </c>
      <c r="U129" s="94"/>
      <c r="V129" t="str">
        <f>IF(AND(OR($P129="☑",$P129=TRUE,$P129=1,$P129="Y",$P129="Yes",$P129="✔",$P129="☒",$P129="X"),$D129&lt;&gt;""),COUNTIF($P$2:$P129,"☑")+COUNTIF($P$2:$P129,TRUE)+COUNTIF($P$2:$P129,1)+COUNTIF($P$2:$P129,"Y")+COUNTIF($P$2:$P129,"Yes")+COUNTIF($P$2:$P129,"✔")+COUNTIF($P$2:$P129,"☒")+COUNTIF($P$2:$P129,"X"),"")</f>
        <v/>
      </c>
    </row>
    <row r="130" spans="1:22" ht="14.15" customHeight="1" x14ac:dyDescent="0.25">
      <c r="A130" s="93" t="str">
        <f t="shared" ref="A130:A161" si="17">IF(D130="","","T-"&amp;TEXT(ROW()-1,"000"))</f>
        <v/>
      </c>
      <c r="B130" s="45"/>
      <c r="C130" s="45"/>
      <c r="D130" s="45"/>
      <c r="E130" s="45"/>
      <c r="F130" s="45"/>
      <c r="G130" s="45"/>
      <c r="H130" s="45"/>
      <c r="I130" s="46"/>
      <c r="J130" s="46"/>
      <c r="K130" s="38" t="str">
        <f t="shared" ref="K130:K161" si="18">IF(OR(I130="",J130=""),"",J130-I130+1)</f>
        <v/>
      </c>
      <c r="L130" s="46"/>
      <c r="M130" s="46"/>
      <c r="N130" s="45"/>
      <c r="O130" s="47"/>
      <c r="P130" s="74" t="b">
        <v>0</v>
      </c>
      <c r="Q130" s="46"/>
      <c r="R130" s="46"/>
      <c r="S130" s="38" t="str">
        <f t="shared" ref="S130:S161" si="19">IF(A130="","",IF(OR(R130="",J130=""),"",IF(M130&lt;&gt;"",M130-R130,J130-R130)))</f>
        <v/>
      </c>
      <c r="T130" s="38" t="str">
        <f t="shared" ref="T130:T161" ca="1" si="20">IF(A130="","",IF(N130="Completed","Green",IF(AND(J130&lt;&gt;"",TODAY()&gt;J130),"Red",IF(AND(J130&lt;&gt;"",TODAY()+3&gt;=J130),"Amber","Green"))))</f>
        <v/>
      </c>
      <c r="U130" s="94"/>
      <c r="V130" t="str">
        <f>IF(AND(OR($P130="☑",$P130=TRUE,$P130=1,$P130="Y",$P130="Yes",$P130="✔",$P130="☒",$P130="X"),$D130&lt;&gt;""),COUNTIF($P$2:$P130,"☑")+COUNTIF($P$2:$P130,TRUE)+COUNTIF($P$2:$P130,1)+COUNTIF($P$2:$P130,"Y")+COUNTIF($P$2:$P130,"Yes")+COUNTIF($P$2:$P130,"✔")+COUNTIF($P$2:$P130,"☒")+COUNTIF($P$2:$P130,"X"),"")</f>
        <v/>
      </c>
    </row>
    <row r="131" spans="1:22" ht="14.15" customHeight="1" x14ac:dyDescent="0.25">
      <c r="A131" s="93" t="str">
        <f t="shared" si="17"/>
        <v/>
      </c>
      <c r="B131" s="45"/>
      <c r="C131" s="45"/>
      <c r="D131" s="45"/>
      <c r="E131" s="45"/>
      <c r="F131" s="45"/>
      <c r="G131" s="45"/>
      <c r="H131" s="45"/>
      <c r="I131" s="46"/>
      <c r="J131" s="46"/>
      <c r="K131" s="38" t="str">
        <f t="shared" si="18"/>
        <v/>
      </c>
      <c r="L131" s="46"/>
      <c r="M131" s="46"/>
      <c r="N131" s="45"/>
      <c r="O131" s="47"/>
      <c r="P131" s="74" t="b">
        <v>0</v>
      </c>
      <c r="Q131" s="46"/>
      <c r="R131" s="46"/>
      <c r="S131" s="38" t="str">
        <f t="shared" si="19"/>
        <v/>
      </c>
      <c r="T131" s="38" t="str">
        <f t="shared" ca="1" si="20"/>
        <v/>
      </c>
      <c r="U131" s="94"/>
      <c r="V131" t="str">
        <f>IF(AND(OR($P131="☑",$P131=TRUE,$P131=1,$P131="Y",$P131="Yes",$P131="✔",$P131="☒",$P131="X"),$D131&lt;&gt;""),COUNTIF($P$2:$P131,"☑")+COUNTIF($P$2:$P131,TRUE)+COUNTIF($P$2:$P131,1)+COUNTIF($P$2:$P131,"Y")+COUNTIF($P$2:$P131,"Yes")+COUNTIF($P$2:$P131,"✔")+COUNTIF($P$2:$P131,"☒")+COUNTIF($P$2:$P131,"X"),"")</f>
        <v/>
      </c>
    </row>
    <row r="132" spans="1:22" ht="14.15" customHeight="1" x14ac:dyDescent="0.25">
      <c r="A132" s="93" t="str">
        <f t="shared" si="17"/>
        <v/>
      </c>
      <c r="B132" s="45"/>
      <c r="C132" s="45"/>
      <c r="D132" s="45"/>
      <c r="E132" s="45"/>
      <c r="F132" s="45"/>
      <c r="G132" s="45"/>
      <c r="H132" s="45"/>
      <c r="I132" s="46"/>
      <c r="J132" s="46"/>
      <c r="K132" s="38" t="str">
        <f t="shared" si="18"/>
        <v/>
      </c>
      <c r="L132" s="46"/>
      <c r="M132" s="46"/>
      <c r="N132" s="45"/>
      <c r="O132" s="47"/>
      <c r="P132" s="74" t="b">
        <v>0</v>
      </c>
      <c r="Q132" s="46"/>
      <c r="R132" s="46"/>
      <c r="S132" s="38" t="str">
        <f t="shared" si="19"/>
        <v/>
      </c>
      <c r="T132" s="38" t="str">
        <f t="shared" ca="1" si="20"/>
        <v/>
      </c>
      <c r="U132" s="94"/>
      <c r="V132" t="str">
        <f>IF(AND(OR($P132="☑",$P132=TRUE,$P132=1,$P132="Y",$P132="Yes",$P132="✔",$P132="☒",$P132="X"),$D132&lt;&gt;""),COUNTIF($P$2:$P132,"☑")+COUNTIF($P$2:$P132,TRUE)+COUNTIF($P$2:$P132,1)+COUNTIF($P$2:$P132,"Y")+COUNTIF($P$2:$P132,"Yes")+COUNTIF($P$2:$P132,"✔")+COUNTIF($P$2:$P132,"☒")+COUNTIF($P$2:$P132,"X"),"")</f>
        <v/>
      </c>
    </row>
    <row r="133" spans="1:22" ht="14.15" customHeight="1" x14ac:dyDescent="0.25">
      <c r="A133" s="93" t="str">
        <f t="shared" si="17"/>
        <v/>
      </c>
      <c r="B133" s="45"/>
      <c r="C133" s="45"/>
      <c r="D133" s="45"/>
      <c r="E133" s="45"/>
      <c r="F133" s="45"/>
      <c r="G133" s="45"/>
      <c r="H133" s="45"/>
      <c r="I133" s="46"/>
      <c r="J133" s="46"/>
      <c r="K133" s="38" t="str">
        <f t="shared" si="18"/>
        <v/>
      </c>
      <c r="L133" s="46"/>
      <c r="M133" s="46"/>
      <c r="N133" s="45"/>
      <c r="O133" s="47"/>
      <c r="P133" s="74" t="b">
        <v>0</v>
      </c>
      <c r="Q133" s="46"/>
      <c r="R133" s="46"/>
      <c r="S133" s="38" t="str">
        <f t="shared" si="19"/>
        <v/>
      </c>
      <c r="T133" s="38" t="str">
        <f t="shared" ca="1" si="20"/>
        <v/>
      </c>
      <c r="U133" s="94"/>
      <c r="V133" t="str">
        <f>IF(AND(OR($P133="☑",$P133=TRUE,$P133=1,$P133="Y",$P133="Yes",$P133="✔",$P133="☒",$P133="X"),$D133&lt;&gt;""),COUNTIF($P$2:$P133,"☑")+COUNTIF($P$2:$P133,TRUE)+COUNTIF($P$2:$P133,1)+COUNTIF($P$2:$P133,"Y")+COUNTIF($P$2:$P133,"Yes")+COUNTIF($P$2:$P133,"✔")+COUNTIF($P$2:$P133,"☒")+COUNTIF($P$2:$P133,"X"),"")</f>
        <v/>
      </c>
    </row>
    <row r="134" spans="1:22" ht="14.15" customHeight="1" x14ac:dyDescent="0.25">
      <c r="A134" s="93" t="str">
        <f t="shared" si="17"/>
        <v/>
      </c>
      <c r="B134" s="45"/>
      <c r="C134" s="45"/>
      <c r="D134" s="45"/>
      <c r="E134" s="45"/>
      <c r="F134" s="45"/>
      <c r="G134" s="45"/>
      <c r="H134" s="45"/>
      <c r="I134" s="46"/>
      <c r="J134" s="46"/>
      <c r="K134" s="38" t="str">
        <f t="shared" si="18"/>
        <v/>
      </c>
      <c r="L134" s="46"/>
      <c r="M134" s="46"/>
      <c r="N134" s="45"/>
      <c r="O134" s="47"/>
      <c r="P134" s="74" t="b">
        <v>0</v>
      </c>
      <c r="Q134" s="46"/>
      <c r="R134" s="46"/>
      <c r="S134" s="38" t="str">
        <f t="shared" si="19"/>
        <v/>
      </c>
      <c r="T134" s="38" t="str">
        <f t="shared" ca="1" si="20"/>
        <v/>
      </c>
      <c r="U134" s="94"/>
      <c r="V134" t="str">
        <f>IF(AND(OR($P134="☑",$P134=TRUE,$P134=1,$P134="Y",$P134="Yes",$P134="✔",$P134="☒",$P134="X"),$D134&lt;&gt;""),COUNTIF($P$2:$P134,"☑")+COUNTIF($P$2:$P134,TRUE)+COUNTIF($P$2:$P134,1)+COUNTIF($P$2:$P134,"Y")+COUNTIF($P$2:$P134,"Yes")+COUNTIF($P$2:$P134,"✔")+COUNTIF($P$2:$P134,"☒")+COUNTIF($P$2:$P134,"X"),"")</f>
        <v/>
      </c>
    </row>
    <row r="135" spans="1:22" ht="14.15" customHeight="1" x14ac:dyDescent="0.25">
      <c r="A135" s="93" t="str">
        <f t="shared" si="17"/>
        <v/>
      </c>
      <c r="B135" s="45"/>
      <c r="C135" s="45"/>
      <c r="D135" s="45"/>
      <c r="E135" s="45"/>
      <c r="F135" s="45"/>
      <c r="G135" s="45"/>
      <c r="H135" s="45"/>
      <c r="I135" s="46"/>
      <c r="J135" s="46"/>
      <c r="K135" s="38" t="str">
        <f t="shared" si="18"/>
        <v/>
      </c>
      <c r="L135" s="46"/>
      <c r="M135" s="46"/>
      <c r="N135" s="45"/>
      <c r="O135" s="47"/>
      <c r="P135" s="74" t="b">
        <v>0</v>
      </c>
      <c r="Q135" s="46"/>
      <c r="R135" s="46"/>
      <c r="S135" s="38" t="str">
        <f t="shared" si="19"/>
        <v/>
      </c>
      <c r="T135" s="38" t="str">
        <f t="shared" ca="1" si="20"/>
        <v/>
      </c>
      <c r="U135" s="94"/>
      <c r="V135" t="str">
        <f>IF(AND(OR($P135="☑",$P135=TRUE,$P135=1,$P135="Y",$P135="Yes",$P135="✔",$P135="☒",$P135="X"),$D135&lt;&gt;""),COUNTIF($P$2:$P135,"☑")+COUNTIF($P$2:$P135,TRUE)+COUNTIF($P$2:$P135,1)+COUNTIF($P$2:$P135,"Y")+COUNTIF($P$2:$P135,"Yes")+COUNTIF($P$2:$P135,"✔")+COUNTIF($P$2:$P135,"☒")+COUNTIF($P$2:$P135,"X"),"")</f>
        <v/>
      </c>
    </row>
    <row r="136" spans="1:22" ht="14.15" customHeight="1" x14ac:dyDescent="0.25">
      <c r="A136" s="93" t="str">
        <f t="shared" si="17"/>
        <v/>
      </c>
      <c r="B136" s="45"/>
      <c r="C136" s="45"/>
      <c r="D136" s="45"/>
      <c r="E136" s="45"/>
      <c r="F136" s="45"/>
      <c r="G136" s="45"/>
      <c r="H136" s="45"/>
      <c r="I136" s="46"/>
      <c r="J136" s="46"/>
      <c r="K136" s="38" t="str">
        <f t="shared" si="18"/>
        <v/>
      </c>
      <c r="L136" s="46"/>
      <c r="M136" s="46"/>
      <c r="N136" s="45"/>
      <c r="O136" s="47"/>
      <c r="P136" s="74" t="b">
        <v>0</v>
      </c>
      <c r="Q136" s="46"/>
      <c r="R136" s="46"/>
      <c r="S136" s="38" t="str">
        <f t="shared" si="19"/>
        <v/>
      </c>
      <c r="T136" s="38" t="str">
        <f t="shared" ca="1" si="20"/>
        <v/>
      </c>
      <c r="U136" s="94"/>
      <c r="V136" t="str">
        <f>IF(AND(OR($P136="☑",$P136=TRUE,$P136=1,$P136="Y",$P136="Yes",$P136="✔",$P136="☒",$P136="X"),$D136&lt;&gt;""),COUNTIF($P$2:$P136,"☑")+COUNTIF($P$2:$P136,TRUE)+COUNTIF($P$2:$P136,1)+COUNTIF($P$2:$P136,"Y")+COUNTIF($P$2:$P136,"Yes")+COUNTIF($P$2:$P136,"✔")+COUNTIF($P$2:$P136,"☒")+COUNTIF($P$2:$P136,"X"),"")</f>
        <v/>
      </c>
    </row>
    <row r="137" spans="1:22" ht="14.15" customHeight="1" x14ac:dyDescent="0.25">
      <c r="A137" s="93" t="str">
        <f t="shared" si="17"/>
        <v/>
      </c>
      <c r="B137" s="45"/>
      <c r="C137" s="45"/>
      <c r="D137" s="45"/>
      <c r="E137" s="45"/>
      <c r="F137" s="45"/>
      <c r="G137" s="45"/>
      <c r="H137" s="45"/>
      <c r="I137" s="46"/>
      <c r="J137" s="46"/>
      <c r="K137" s="38" t="str">
        <f t="shared" si="18"/>
        <v/>
      </c>
      <c r="L137" s="46"/>
      <c r="M137" s="46"/>
      <c r="N137" s="45"/>
      <c r="O137" s="47"/>
      <c r="P137" s="74" t="b">
        <v>0</v>
      </c>
      <c r="Q137" s="46"/>
      <c r="R137" s="46"/>
      <c r="S137" s="38" t="str">
        <f t="shared" si="19"/>
        <v/>
      </c>
      <c r="T137" s="38" t="str">
        <f t="shared" ca="1" si="20"/>
        <v/>
      </c>
      <c r="U137" s="94"/>
      <c r="V137" t="str">
        <f>IF(AND(OR($P137="☑",$P137=TRUE,$P137=1,$P137="Y",$P137="Yes",$P137="✔",$P137="☒",$P137="X"),$D137&lt;&gt;""),COUNTIF($P$2:$P137,"☑")+COUNTIF($P$2:$P137,TRUE)+COUNTIF($P$2:$P137,1)+COUNTIF($P$2:$P137,"Y")+COUNTIF($P$2:$P137,"Yes")+COUNTIF($P$2:$P137,"✔")+COUNTIF($P$2:$P137,"☒")+COUNTIF($P$2:$P137,"X"),"")</f>
        <v/>
      </c>
    </row>
    <row r="138" spans="1:22" ht="14.15" customHeight="1" x14ac:dyDescent="0.25">
      <c r="A138" s="93" t="str">
        <f t="shared" si="17"/>
        <v/>
      </c>
      <c r="B138" s="45"/>
      <c r="C138" s="45"/>
      <c r="D138" s="45"/>
      <c r="E138" s="45"/>
      <c r="F138" s="45"/>
      <c r="G138" s="45"/>
      <c r="H138" s="45"/>
      <c r="I138" s="46"/>
      <c r="J138" s="46"/>
      <c r="K138" s="38" t="str">
        <f t="shared" si="18"/>
        <v/>
      </c>
      <c r="L138" s="46"/>
      <c r="M138" s="46"/>
      <c r="N138" s="45"/>
      <c r="O138" s="47"/>
      <c r="P138" s="74" t="b">
        <v>0</v>
      </c>
      <c r="Q138" s="46"/>
      <c r="R138" s="46"/>
      <c r="S138" s="38" t="str">
        <f t="shared" si="19"/>
        <v/>
      </c>
      <c r="T138" s="38" t="str">
        <f t="shared" ca="1" si="20"/>
        <v/>
      </c>
      <c r="U138" s="94"/>
      <c r="V138" t="str">
        <f>IF(AND(OR($P138="☑",$P138=TRUE,$P138=1,$P138="Y",$P138="Yes",$P138="✔",$P138="☒",$P138="X"),$D138&lt;&gt;""),COUNTIF($P$2:$P138,"☑")+COUNTIF($P$2:$P138,TRUE)+COUNTIF($P$2:$P138,1)+COUNTIF($P$2:$P138,"Y")+COUNTIF($P$2:$P138,"Yes")+COUNTIF($P$2:$P138,"✔")+COUNTIF($P$2:$P138,"☒")+COUNTIF($P$2:$P138,"X"),"")</f>
        <v/>
      </c>
    </row>
    <row r="139" spans="1:22" ht="14.15" customHeight="1" x14ac:dyDescent="0.25">
      <c r="A139" s="93" t="str">
        <f t="shared" si="17"/>
        <v/>
      </c>
      <c r="B139" s="45"/>
      <c r="C139" s="45"/>
      <c r="D139" s="45"/>
      <c r="E139" s="45"/>
      <c r="F139" s="45"/>
      <c r="G139" s="45"/>
      <c r="H139" s="45"/>
      <c r="I139" s="46"/>
      <c r="J139" s="46"/>
      <c r="K139" s="38" t="str">
        <f t="shared" si="18"/>
        <v/>
      </c>
      <c r="L139" s="46"/>
      <c r="M139" s="46"/>
      <c r="N139" s="45"/>
      <c r="O139" s="47"/>
      <c r="P139" s="74" t="b">
        <v>0</v>
      </c>
      <c r="Q139" s="46"/>
      <c r="R139" s="46"/>
      <c r="S139" s="38" t="str">
        <f t="shared" si="19"/>
        <v/>
      </c>
      <c r="T139" s="38" t="str">
        <f t="shared" ca="1" si="20"/>
        <v/>
      </c>
      <c r="U139" s="94"/>
      <c r="V139" t="str">
        <f>IF(AND(OR($P139="☑",$P139=TRUE,$P139=1,$P139="Y",$P139="Yes",$P139="✔",$P139="☒",$P139="X"),$D139&lt;&gt;""),COUNTIF($P$2:$P139,"☑")+COUNTIF($P$2:$P139,TRUE)+COUNTIF($P$2:$P139,1)+COUNTIF($P$2:$P139,"Y")+COUNTIF($P$2:$P139,"Yes")+COUNTIF($P$2:$P139,"✔")+COUNTIF($P$2:$P139,"☒")+COUNTIF($P$2:$P139,"X"),"")</f>
        <v/>
      </c>
    </row>
    <row r="140" spans="1:22" ht="14.15" customHeight="1" x14ac:dyDescent="0.25">
      <c r="A140" s="93" t="str">
        <f t="shared" si="17"/>
        <v/>
      </c>
      <c r="B140" s="45"/>
      <c r="C140" s="45"/>
      <c r="D140" s="45"/>
      <c r="E140" s="45"/>
      <c r="F140" s="45"/>
      <c r="G140" s="45"/>
      <c r="H140" s="45"/>
      <c r="I140" s="46"/>
      <c r="J140" s="46"/>
      <c r="K140" s="38" t="str">
        <f t="shared" si="18"/>
        <v/>
      </c>
      <c r="L140" s="46"/>
      <c r="M140" s="46"/>
      <c r="N140" s="45"/>
      <c r="O140" s="47"/>
      <c r="P140" s="74" t="b">
        <v>0</v>
      </c>
      <c r="Q140" s="46"/>
      <c r="R140" s="46"/>
      <c r="S140" s="38" t="str">
        <f t="shared" si="19"/>
        <v/>
      </c>
      <c r="T140" s="38" t="str">
        <f t="shared" ca="1" si="20"/>
        <v/>
      </c>
      <c r="U140" s="94"/>
      <c r="V140" t="str">
        <f>IF(AND(OR($P140="☑",$P140=TRUE,$P140=1,$P140="Y",$P140="Yes",$P140="✔",$P140="☒",$P140="X"),$D140&lt;&gt;""),COUNTIF($P$2:$P140,"☑")+COUNTIF($P$2:$P140,TRUE)+COUNTIF($P$2:$P140,1)+COUNTIF($P$2:$P140,"Y")+COUNTIF($P$2:$P140,"Yes")+COUNTIF($P$2:$P140,"✔")+COUNTIF($P$2:$P140,"☒")+COUNTIF($P$2:$P140,"X"),"")</f>
        <v/>
      </c>
    </row>
    <row r="141" spans="1:22" ht="14.15" customHeight="1" x14ac:dyDescent="0.25">
      <c r="A141" s="93" t="str">
        <f t="shared" si="17"/>
        <v/>
      </c>
      <c r="B141" s="45"/>
      <c r="C141" s="45"/>
      <c r="D141" s="45"/>
      <c r="E141" s="45"/>
      <c r="F141" s="45"/>
      <c r="G141" s="45"/>
      <c r="H141" s="45"/>
      <c r="I141" s="46"/>
      <c r="J141" s="46"/>
      <c r="K141" s="38" t="str">
        <f t="shared" si="18"/>
        <v/>
      </c>
      <c r="L141" s="46"/>
      <c r="M141" s="46"/>
      <c r="N141" s="45"/>
      <c r="O141" s="47"/>
      <c r="P141" s="74" t="b">
        <v>0</v>
      </c>
      <c r="Q141" s="46"/>
      <c r="R141" s="46"/>
      <c r="S141" s="38" t="str">
        <f t="shared" si="19"/>
        <v/>
      </c>
      <c r="T141" s="38" t="str">
        <f t="shared" ca="1" si="20"/>
        <v/>
      </c>
      <c r="U141" s="94"/>
      <c r="V141" t="str">
        <f>IF(AND(OR($P141="☑",$P141=TRUE,$P141=1,$P141="Y",$P141="Yes",$P141="✔",$P141="☒",$P141="X"),$D141&lt;&gt;""),COUNTIF($P$2:$P141,"☑")+COUNTIF($P$2:$P141,TRUE)+COUNTIF($P$2:$P141,1)+COUNTIF($P$2:$P141,"Y")+COUNTIF($P$2:$P141,"Yes")+COUNTIF($P$2:$P141,"✔")+COUNTIF($P$2:$P141,"☒")+COUNTIF($P$2:$P141,"X"),"")</f>
        <v/>
      </c>
    </row>
    <row r="142" spans="1:22" ht="14.15" customHeight="1" x14ac:dyDescent="0.25">
      <c r="A142" s="93" t="str">
        <f t="shared" si="17"/>
        <v/>
      </c>
      <c r="B142" s="45"/>
      <c r="C142" s="45"/>
      <c r="D142" s="45"/>
      <c r="E142" s="45"/>
      <c r="F142" s="45"/>
      <c r="G142" s="45"/>
      <c r="H142" s="45"/>
      <c r="I142" s="46"/>
      <c r="J142" s="46"/>
      <c r="K142" s="38" t="str">
        <f t="shared" si="18"/>
        <v/>
      </c>
      <c r="L142" s="46"/>
      <c r="M142" s="46"/>
      <c r="N142" s="45"/>
      <c r="O142" s="47"/>
      <c r="P142" s="74" t="b">
        <v>0</v>
      </c>
      <c r="Q142" s="46"/>
      <c r="R142" s="46"/>
      <c r="S142" s="38" t="str">
        <f t="shared" si="19"/>
        <v/>
      </c>
      <c r="T142" s="38" t="str">
        <f t="shared" ca="1" si="20"/>
        <v/>
      </c>
      <c r="U142" s="94"/>
      <c r="V142" t="str">
        <f>IF(AND(OR($P142="☑",$P142=TRUE,$P142=1,$P142="Y",$P142="Yes",$P142="✔",$P142="☒",$P142="X"),$D142&lt;&gt;""),COUNTIF($P$2:$P142,"☑")+COUNTIF($P$2:$P142,TRUE)+COUNTIF($P$2:$P142,1)+COUNTIF($P$2:$P142,"Y")+COUNTIF($P$2:$P142,"Yes")+COUNTIF($P$2:$P142,"✔")+COUNTIF($P$2:$P142,"☒")+COUNTIF($P$2:$P142,"X"),"")</f>
        <v/>
      </c>
    </row>
    <row r="143" spans="1:22" ht="14.15" customHeight="1" x14ac:dyDescent="0.25">
      <c r="A143" s="93" t="str">
        <f t="shared" si="17"/>
        <v/>
      </c>
      <c r="B143" s="45"/>
      <c r="C143" s="45"/>
      <c r="D143" s="45"/>
      <c r="E143" s="45"/>
      <c r="F143" s="45"/>
      <c r="G143" s="45"/>
      <c r="H143" s="45"/>
      <c r="I143" s="46"/>
      <c r="J143" s="46"/>
      <c r="K143" s="38" t="str">
        <f t="shared" si="18"/>
        <v/>
      </c>
      <c r="L143" s="46"/>
      <c r="M143" s="46"/>
      <c r="N143" s="45"/>
      <c r="O143" s="47"/>
      <c r="P143" s="74" t="b">
        <v>0</v>
      </c>
      <c r="Q143" s="46"/>
      <c r="R143" s="46"/>
      <c r="S143" s="38" t="str">
        <f t="shared" si="19"/>
        <v/>
      </c>
      <c r="T143" s="38" t="str">
        <f t="shared" ca="1" si="20"/>
        <v/>
      </c>
      <c r="U143" s="94"/>
      <c r="V143" t="str">
        <f>IF(AND(OR($P143="☑",$P143=TRUE,$P143=1,$P143="Y",$P143="Yes",$P143="✔",$P143="☒",$P143="X"),$D143&lt;&gt;""),COUNTIF($P$2:$P143,"☑")+COUNTIF($P$2:$P143,TRUE)+COUNTIF($P$2:$P143,1)+COUNTIF($P$2:$P143,"Y")+COUNTIF($P$2:$P143,"Yes")+COUNTIF($P$2:$P143,"✔")+COUNTIF($P$2:$P143,"☒")+COUNTIF($P$2:$P143,"X"),"")</f>
        <v/>
      </c>
    </row>
    <row r="144" spans="1:22" ht="14.15" customHeight="1" x14ac:dyDescent="0.25">
      <c r="A144" s="93" t="str">
        <f t="shared" si="17"/>
        <v/>
      </c>
      <c r="B144" s="45"/>
      <c r="C144" s="45"/>
      <c r="D144" s="45"/>
      <c r="E144" s="45"/>
      <c r="F144" s="45"/>
      <c r="G144" s="45"/>
      <c r="H144" s="45"/>
      <c r="I144" s="46"/>
      <c r="J144" s="46"/>
      <c r="K144" s="38" t="str">
        <f t="shared" si="18"/>
        <v/>
      </c>
      <c r="L144" s="46"/>
      <c r="M144" s="46"/>
      <c r="N144" s="45"/>
      <c r="O144" s="47"/>
      <c r="P144" s="74" t="b">
        <v>0</v>
      </c>
      <c r="Q144" s="46"/>
      <c r="R144" s="46"/>
      <c r="S144" s="38" t="str">
        <f t="shared" si="19"/>
        <v/>
      </c>
      <c r="T144" s="38" t="str">
        <f t="shared" ca="1" si="20"/>
        <v/>
      </c>
      <c r="U144" s="94"/>
      <c r="V144" t="str">
        <f>IF(AND(OR($P144="☑",$P144=TRUE,$P144=1,$P144="Y",$P144="Yes",$P144="✔",$P144="☒",$P144="X"),$D144&lt;&gt;""),COUNTIF($P$2:$P144,"☑")+COUNTIF($P$2:$P144,TRUE)+COUNTIF($P$2:$P144,1)+COUNTIF($P$2:$P144,"Y")+COUNTIF($P$2:$P144,"Yes")+COUNTIF($P$2:$P144,"✔")+COUNTIF($P$2:$P144,"☒")+COUNTIF($P$2:$P144,"X"),"")</f>
        <v/>
      </c>
    </row>
    <row r="145" spans="1:22" ht="14.15" customHeight="1" x14ac:dyDescent="0.25">
      <c r="A145" s="93" t="str">
        <f t="shared" si="17"/>
        <v/>
      </c>
      <c r="B145" s="45"/>
      <c r="C145" s="45"/>
      <c r="D145" s="45"/>
      <c r="E145" s="45"/>
      <c r="F145" s="45"/>
      <c r="G145" s="45"/>
      <c r="H145" s="45"/>
      <c r="I145" s="46"/>
      <c r="J145" s="46"/>
      <c r="K145" s="38" t="str">
        <f t="shared" si="18"/>
        <v/>
      </c>
      <c r="L145" s="46"/>
      <c r="M145" s="46"/>
      <c r="N145" s="45"/>
      <c r="O145" s="47"/>
      <c r="P145" s="74" t="b">
        <v>0</v>
      </c>
      <c r="Q145" s="46"/>
      <c r="R145" s="46"/>
      <c r="S145" s="38" t="str">
        <f t="shared" si="19"/>
        <v/>
      </c>
      <c r="T145" s="38" t="str">
        <f t="shared" ca="1" si="20"/>
        <v/>
      </c>
      <c r="U145" s="94"/>
      <c r="V145" t="str">
        <f>IF(AND(OR($P145="☑",$P145=TRUE,$P145=1,$P145="Y",$P145="Yes",$P145="✔",$P145="☒",$P145="X"),$D145&lt;&gt;""),COUNTIF($P$2:$P145,"☑")+COUNTIF($P$2:$P145,TRUE)+COUNTIF($P$2:$P145,1)+COUNTIF($P$2:$P145,"Y")+COUNTIF($P$2:$P145,"Yes")+COUNTIF($P$2:$P145,"✔")+COUNTIF($P$2:$P145,"☒")+COUNTIF($P$2:$P145,"X"),"")</f>
        <v/>
      </c>
    </row>
    <row r="146" spans="1:22" ht="14.15" customHeight="1" x14ac:dyDescent="0.25">
      <c r="A146" s="93" t="str">
        <f t="shared" si="17"/>
        <v/>
      </c>
      <c r="B146" s="45"/>
      <c r="C146" s="45"/>
      <c r="D146" s="45"/>
      <c r="E146" s="45"/>
      <c r="F146" s="45"/>
      <c r="G146" s="45"/>
      <c r="H146" s="45"/>
      <c r="I146" s="46"/>
      <c r="J146" s="46"/>
      <c r="K146" s="38" t="str">
        <f t="shared" si="18"/>
        <v/>
      </c>
      <c r="L146" s="46"/>
      <c r="M146" s="46"/>
      <c r="N146" s="45"/>
      <c r="O146" s="47"/>
      <c r="P146" s="74" t="b">
        <v>0</v>
      </c>
      <c r="Q146" s="46"/>
      <c r="R146" s="46"/>
      <c r="S146" s="38" t="str">
        <f t="shared" si="19"/>
        <v/>
      </c>
      <c r="T146" s="38" t="str">
        <f t="shared" ca="1" si="20"/>
        <v/>
      </c>
      <c r="U146" s="94"/>
      <c r="V146" t="str">
        <f>IF(AND(OR($P146="☑",$P146=TRUE,$P146=1,$P146="Y",$P146="Yes",$P146="✔",$P146="☒",$P146="X"),$D146&lt;&gt;""),COUNTIF($P$2:$P146,"☑")+COUNTIF($P$2:$P146,TRUE)+COUNTIF($P$2:$P146,1)+COUNTIF($P$2:$P146,"Y")+COUNTIF($P$2:$P146,"Yes")+COUNTIF($P$2:$P146,"✔")+COUNTIF($P$2:$P146,"☒")+COUNTIF($P$2:$P146,"X"),"")</f>
        <v/>
      </c>
    </row>
    <row r="147" spans="1:22" ht="14.15" customHeight="1" x14ac:dyDescent="0.25">
      <c r="A147" s="93" t="str">
        <f t="shared" si="17"/>
        <v/>
      </c>
      <c r="B147" s="45"/>
      <c r="C147" s="45"/>
      <c r="D147" s="45"/>
      <c r="E147" s="45"/>
      <c r="F147" s="45"/>
      <c r="G147" s="45"/>
      <c r="H147" s="45"/>
      <c r="I147" s="46"/>
      <c r="J147" s="46"/>
      <c r="K147" s="38" t="str">
        <f t="shared" si="18"/>
        <v/>
      </c>
      <c r="L147" s="46"/>
      <c r="M147" s="46"/>
      <c r="N147" s="45"/>
      <c r="O147" s="47"/>
      <c r="P147" s="74" t="b">
        <v>0</v>
      </c>
      <c r="Q147" s="46"/>
      <c r="R147" s="46"/>
      <c r="S147" s="38" t="str">
        <f t="shared" si="19"/>
        <v/>
      </c>
      <c r="T147" s="38" t="str">
        <f t="shared" ca="1" si="20"/>
        <v/>
      </c>
      <c r="U147" s="94"/>
      <c r="V147" t="str">
        <f>IF(AND(OR($P147="☑",$P147=TRUE,$P147=1,$P147="Y",$P147="Yes",$P147="✔",$P147="☒",$P147="X"),$D147&lt;&gt;""),COUNTIF($P$2:$P147,"☑")+COUNTIF($P$2:$P147,TRUE)+COUNTIF($P$2:$P147,1)+COUNTIF($P$2:$P147,"Y")+COUNTIF($P$2:$P147,"Yes")+COUNTIF($P$2:$P147,"✔")+COUNTIF($P$2:$P147,"☒")+COUNTIF($P$2:$P147,"X"),"")</f>
        <v/>
      </c>
    </row>
    <row r="148" spans="1:22" ht="14.15" customHeight="1" x14ac:dyDescent="0.25">
      <c r="A148" s="93" t="str">
        <f t="shared" si="17"/>
        <v/>
      </c>
      <c r="B148" s="45"/>
      <c r="C148" s="45"/>
      <c r="D148" s="45"/>
      <c r="E148" s="45"/>
      <c r="F148" s="45"/>
      <c r="G148" s="45"/>
      <c r="H148" s="45"/>
      <c r="I148" s="46"/>
      <c r="J148" s="46"/>
      <c r="K148" s="38" t="str">
        <f t="shared" si="18"/>
        <v/>
      </c>
      <c r="L148" s="46"/>
      <c r="M148" s="46"/>
      <c r="N148" s="45"/>
      <c r="O148" s="47"/>
      <c r="P148" s="74" t="b">
        <v>0</v>
      </c>
      <c r="Q148" s="46"/>
      <c r="R148" s="46"/>
      <c r="S148" s="38" t="str">
        <f t="shared" si="19"/>
        <v/>
      </c>
      <c r="T148" s="38" t="str">
        <f t="shared" ca="1" si="20"/>
        <v/>
      </c>
      <c r="U148" s="94"/>
      <c r="V148" t="str">
        <f>IF(AND(OR($P148="☑",$P148=TRUE,$P148=1,$P148="Y",$P148="Yes",$P148="✔",$P148="☒",$P148="X"),$D148&lt;&gt;""),COUNTIF($P$2:$P148,"☑")+COUNTIF($P$2:$P148,TRUE)+COUNTIF($P$2:$P148,1)+COUNTIF($P$2:$P148,"Y")+COUNTIF($P$2:$P148,"Yes")+COUNTIF($P$2:$P148,"✔")+COUNTIF($P$2:$P148,"☒")+COUNTIF($P$2:$P148,"X"),"")</f>
        <v/>
      </c>
    </row>
    <row r="149" spans="1:22" ht="14.15" customHeight="1" x14ac:dyDescent="0.25">
      <c r="A149" s="93" t="str">
        <f t="shared" si="17"/>
        <v/>
      </c>
      <c r="B149" s="45"/>
      <c r="C149" s="45"/>
      <c r="D149" s="45"/>
      <c r="E149" s="45"/>
      <c r="F149" s="45"/>
      <c r="G149" s="45"/>
      <c r="H149" s="45"/>
      <c r="I149" s="46"/>
      <c r="J149" s="46"/>
      <c r="K149" s="38" t="str">
        <f t="shared" si="18"/>
        <v/>
      </c>
      <c r="L149" s="46"/>
      <c r="M149" s="46"/>
      <c r="N149" s="45"/>
      <c r="O149" s="47"/>
      <c r="P149" s="74" t="b">
        <v>0</v>
      </c>
      <c r="Q149" s="46"/>
      <c r="R149" s="46"/>
      <c r="S149" s="38" t="str">
        <f t="shared" si="19"/>
        <v/>
      </c>
      <c r="T149" s="38" t="str">
        <f t="shared" ca="1" si="20"/>
        <v/>
      </c>
      <c r="U149" s="94"/>
      <c r="V149" t="str">
        <f>IF(AND(OR($P149="☑",$P149=TRUE,$P149=1,$P149="Y",$P149="Yes",$P149="✔",$P149="☒",$P149="X"),$D149&lt;&gt;""),COUNTIF($P$2:$P149,"☑")+COUNTIF($P$2:$P149,TRUE)+COUNTIF($P$2:$P149,1)+COUNTIF($P$2:$P149,"Y")+COUNTIF($P$2:$P149,"Yes")+COUNTIF($P$2:$P149,"✔")+COUNTIF($P$2:$P149,"☒")+COUNTIF($P$2:$P149,"X"),"")</f>
        <v/>
      </c>
    </row>
    <row r="150" spans="1:22" ht="14.15" customHeight="1" x14ac:dyDescent="0.25">
      <c r="A150" s="93" t="str">
        <f t="shared" si="17"/>
        <v/>
      </c>
      <c r="B150" s="45"/>
      <c r="C150" s="45"/>
      <c r="D150" s="45"/>
      <c r="E150" s="45"/>
      <c r="F150" s="45"/>
      <c r="G150" s="45"/>
      <c r="H150" s="45"/>
      <c r="I150" s="46"/>
      <c r="J150" s="46"/>
      <c r="K150" s="38" t="str">
        <f t="shared" si="18"/>
        <v/>
      </c>
      <c r="L150" s="46"/>
      <c r="M150" s="46"/>
      <c r="N150" s="45"/>
      <c r="O150" s="47"/>
      <c r="P150" s="74" t="b">
        <v>0</v>
      </c>
      <c r="Q150" s="46"/>
      <c r="R150" s="46"/>
      <c r="S150" s="38" t="str">
        <f t="shared" si="19"/>
        <v/>
      </c>
      <c r="T150" s="38" t="str">
        <f t="shared" ca="1" si="20"/>
        <v/>
      </c>
      <c r="U150" s="94"/>
      <c r="V150" t="str">
        <f>IF(AND(OR($P150="☑",$P150=TRUE,$P150=1,$P150="Y",$P150="Yes",$P150="✔",$P150="☒",$P150="X"),$D150&lt;&gt;""),COUNTIF($P$2:$P150,"☑")+COUNTIF($P$2:$P150,TRUE)+COUNTIF($P$2:$P150,1)+COUNTIF($P$2:$P150,"Y")+COUNTIF($P$2:$P150,"Yes")+COUNTIF($P$2:$P150,"✔")+COUNTIF($P$2:$P150,"☒")+COUNTIF($P$2:$P150,"X"),"")</f>
        <v/>
      </c>
    </row>
    <row r="151" spans="1:22" ht="14.15" customHeight="1" x14ac:dyDescent="0.25">
      <c r="A151" s="93" t="str">
        <f t="shared" si="17"/>
        <v/>
      </c>
      <c r="B151" s="45"/>
      <c r="C151" s="45"/>
      <c r="D151" s="45"/>
      <c r="E151" s="45"/>
      <c r="F151" s="45"/>
      <c r="G151" s="45"/>
      <c r="H151" s="45"/>
      <c r="I151" s="46"/>
      <c r="J151" s="46"/>
      <c r="K151" s="38" t="str">
        <f t="shared" si="18"/>
        <v/>
      </c>
      <c r="L151" s="46"/>
      <c r="M151" s="46"/>
      <c r="N151" s="45"/>
      <c r="O151" s="47"/>
      <c r="P151" s="74" t="b">
        <v>0</v>
      </c>
      <c r="Q151" s="46"/>
      <c r="R151" s="46"/>
      <c r="S151" s="38" t="str">
        <f t="shared" si="19"/>
        <v/>
      </c>
      <c r="T151" s="38" t="str">
        <f t="shared" ca="1" si="20"/>
        <v/>
      </c>
      <c r="U151" s="94"/>
      <c r="V151" t="str">
        <f>IF(AND(OR($P151="☑",$P151=TRUE,$P151=1,$P151="Y",$P151="Yes",$P151="✔",$P151="☒",$P151="X"),$D151&lt;&gt;""),COUNTIF($P$2:$P151,"☑")+COUNTIF($P$2:$P151,TRUE)+COUNTIF($P$2:$P151,1)+COUNTIF($P$2:$P151,"Y")+COUNTIF($P$2:$P151,"Yes")+COUNTIF($P$2:$P151,"✔")+COUNTIF($P$2:$P151,"☒")+COUNTIF($P$2:$P151,"X"),"")</f>
        <v/>
      </c>
    </row>
    <row r="152" spans="1:22" ht="14.15" customHeight="1" x14ac:dyDescent="0.25">
      <c r="A152" s="93" t="str">
        <f t="shared" si="17"/>
        <v/>
      </c>
      <c r="B152" s="45"/>
      <c r="C152" s="45"/>
      <c r="D152" s="45"/>
      <c r="E152" s="45"/>
      <c r="F152" s="45"/>
      <c r="G152" s="45"/>
      <c r="H152" s="45"/>
      <c r="I152" s="46"/>
      <c r="J152" s="46"/>
      <c r="K152" s="38" t="str">
        <f t="shared" si="18"/>
        <v/>
      </c>
      <c r="L152" s="46"/>
      <c r="M152" s="46"/>
      <c r="N152" s="45"/>
      <c r="O152" s="47"/>
      <c r="P152" s="74" t="b">
        <v>0</v>
      </c>
      <c r="Q152" s="46"/>
      <c r="R152" s="46"/>
      <c r="S152" s="38" t="str">
        <f t="shared" si="19"/>
        <v/>
      </c>
      <c r="T152" s="38" t="str">
        <f t="shared" ca="1" si="20"/>
        <v/>
      </c>
      <c r="U152" s="94"/>
      <c r="V152" t="str">
        <f>IF(AND(OR($P152="☑",$P152=TRUE,$P152=1,$P152="Y",$P152="Yes",$P152="✔",$P152="☒",$P152="X"),$D152&lt;&gt;""),COUNTIF($P$2:$P152,"☑")+COUNTIF($P$2:$P152,TRUE)+COUNTIF($P$2:$P152,1)+COUNTIF($P$2:$P152,"Y")+COUNTIF($P$2:$P152,"Yes")+COUNTIF($P$2:$P152,"✔")+COUNTIF($P$2:$P152,"☒")+COUNTIF($P$2:$P152,"X"),"")</f>
        <v/>
      </c>
    </row>
    <row r="153" spans="1:22" ht="14.15" customHeight="1" x14ac:dyDescent="0.25">
      <c r="A153" s="93" t="str">
        <f t="shared" si="17"/>
        <v/>
      </c>
      <c r="B153" s="45"/>
      <c r="C153" s="45"/>
      <c r="D153" s="45"/>
      <c r="E153" s="45"/>
      <c r="F153" s="45"/>
      <c r="G153" s="45"/>
      <c r="H153" s="45"/>
      <c r="I153" s="46"/>
      <c r="J153" s="46"/>
      <c r="K153" s="38" t="str">
        <f t="shared" si="18"/>
        <v/>
      </c>
      <c r="L153" s="46"/>
      <c r="M153" s="46"/>
      <c r="N153" s="45"/>
      <c r="O153" s="47"/>
      <c r="P153" s="74" t="b">
        <v>0</v>
      </c>
      <c r="Q153" s="46"/>
      <c r="R153" s="46"/>
      <c r="S153" s="38" t="str">
        <f t="shared" si="19"/>
        <v/>
      </c>
      <c r="T153" s="38" t="str">
        <f t="shared" ca="1" si="20"/>
        <v/>
      </c>
      <c r="U153" s="94"/>
      <c r="V153" t="str">
        <f>IF(AND(OR($P153="☑",$P153=TRUE,$P153=1,$P153="Y",$P153="Yes",$P153="✔",$P153="☒",$P153="X"),$D153&lt;&gt;""),COUNTIF($P$2:$P153,"☑")+COUNTIF($P$2:$P153,TRUE)+COUNTIF($P$2:$P153,1)+COUNTIF($P$2:$P153,"Y")+COUNTIF($P$2:$P153,"Yes")+COUNTIF($P$2:$P153,"✔")+COUNTIF($P$2:$P153,"☒")+COUNTIF($P$2:$P153,"X"),"")</f>
        <v/>
      </c>
    </row>
    <row r="154" spans="1:22" ht="14.15" customHeight="1" x14ac:dyDescent="0.25">
      <c r="A154" s="93" t="str">
        <f t="shared" si="17"/>
        <v/>
      </c>
      <c r="B154" s="45"/>
      <c r="C154" s="45"/>
      <c r="D154" s="45"/>
      <c r="E154" s="45"/>
      <c r="F154" s="45"/>
      <c r="G154" s="45"/>
      <c r="H154" s="45"/>
      <c r="I154" s="46"/>
      <c r="J154" s="46"/>
      <c r="K154" s="38" t="str">
        <f t="shared" si="18"/>
        <v/>
      </c>
      <c r="L154" s="46"/>
      <c r="M154" s="46"/>
      <c r="N154" s="45"/>
      <c r="O154" s="47"/>
      <c r="P154" s="74" t="b">
        <v>0</v>
      </c>
      <c r="Q154" s="46"/>
      <c r="R154" s="46"/>
      <c r="S154" s="38" t="str">
        <f t="shared" si="19"/>
        <v/>
      </c>
      <c r="T154" s="38" t="str">
        <f t="shared" ca="1" si="20"/>
        <v/>
      </c>
      <c r="U154" s="94"/>
      <c r="V154" t="str">
        <f>IF(AND(OR($P154="☑",$P154=TRUE,$P154=1,$P154="Y",$P154="Yes",$P154="✔",$P154="☒",$P154="X"),$D154&lt;&gt;""),COUNTIF($P$2:$P154,"☑")+COUNTIF($P$2:$P154,TRUE)+COUNTIF($P$2:$P154,1)+COUNTIF($P$2:$P154,"Y")+COUNTIF($P$2:$P154,"Yes")+COUNTIF($P$2:$P154,"✔")+COUNTIF($P$2:$P154,"☒")+COUNTIF($P$2:$P154,"X"),"")</f>
        <v/>
      </c>
    </row>
    <row r="155" spans="1:22" ht="14.15" customHeight="1" x14ac:dyDescent="0.25">
      <c r="A155" s="93" t="str">
        <f t="shared" si="17"/>
        <v/>
      </c>
      <c r="B155" s="45"/>
      <c r="C155" s="45"/>
      <c r="D155" s="45"/>
      <c r="E155" s="45"/>
      <c r="F155" s="45"/>
      <c r="G155" s="45"/>
      <c r="H155" s="45"/>
      <c r="I155" s="46"/>
      <c r="J155" s="46"/>
      <c r="K155" s="38" t="str">
        <f t="shared" si="18"/>
        <v/>
      </c>
      <c r="L155" s="46"/>
      <c r="M155" s="46"/>
      <c r="N155" s="45"/>
      <c r="O155" s="47"/>
      <c r="P155" s="74" t="b">
        <v>0</v>
      </c>
      <c r="Q155" s="46"/>
      <c r="R155" s="46"/>
      <c r="S155" s="38" t="str">
        <f t="shared" si="19"/>
        <v/>
      </c>
      <c r="T155" s="38" t="str">
        <f t="shared" ca="1" si="20"/>
        <v/>
      </c>
      <c r="U155" s="94"/>
      <c r="V155" t="str">
        <f>IF(AND(OR($P155="☑",$P155=TRUE,$P155=1,$P155="Y",$P155="Yes",$P155="✔",$P155="☒",$P155="X"),$D155&lt;&gt;""),COUNTIF($P$2:$P155,"☑")+COUNTIF($P$2:$P155,TRUE)+COUNTIF($P$2:$P155,1)+COUNTIF($P$2:$P155,"Y")+COUNTIF($P$2:$P155,"Yes")+COUNTIF($P$2:$P155,"✔")+COUNTIF($P$2:$P155,"☒")+COUNTIF($P$2:$P155,"X"),"")</f>
        <v/>
      </c>
    </row>
    <row r="156" spans="1:22" ht="14.15" customHeight="1" x14ac:dyDescent="0.25">
      <c r="A156" s="93" t="str">
        <f t="shared" si="17"/>
        <v/>
      </c>
      <c r="B156" s="45"/>
      <c r="C156" s="45"/>
      <c r="D156" s="45"/>
      <c r="E156" s="45"/>
      <c r="F156" s="45"/>
      <c r="G156" s="45"/>
      <c r="H156" s="45"/>
      <c r="I156" s="46"/>
      <c r="J156" s="46"/>
      <c r="K156" s="38" t="str">
        <f t="shared" si="18"/>
        <v/>
      </c>
      <c r="L156" s="46"/>
      <c r="M156" s="46"/>
      <c r="N156" s="45"/>
      <c r="O156" s="47"/>
      <c r="P156" s="74" t="b">
        <v>0</v>
      </c>
      <c r="Q156" s="46"/>
      <c r="R156" s="46"/>
      <c r="S156" s="38" t="str">
        <f t="shared" si="19"/>
        <v/>
      </c>
      <c r="T156" s="38" t="str">
        <f t="shared" ca="1" si="20"/>
        <v/>
      </c>
      <c r="U156" s="94"/>
      <c r="V156" t="str">
        <f>IF(AND(OR($P156="☑",$P156=TRUE,$P156=1,$P156="Y",$P156="Yes",$P156="✔",$P156="☒",$P156="X"),$D156&lt;&gt;""),COUNTIF($P$2:$P156,"☑")+COUNTIF($P$2:$P156,TRUE)+COUNTIF($P$2:$P156,1)+COUNTIF($P$2:$P156,"Y")+COUNTIF($P$2:$P156,"Yes")+COUNTIF($P$2:$P156,"✔")+COUNTIF($P$2:$P156,"☒")+COUNTIF($P$2:$P156,"X"),"")</f>
        <v/>
      </c>
    </row>
    <row r="157" spans="1:22" ht="14.15" customHeight="1" x14ac:dyDescent="0.25">
      <c r="A157" s="93" t="str">
        <f t="shared" si="17"/>
        <v/>
      </c>
      <c r="B157" s="45"/>
      <c r="C157" s="45"/>
      <c r="D157" s="45"/>
      <c r="E157" s="45"/>
      <c r="F157" s="45"/>
      <c r="G157" s="45"/>
      <c r="H157" s="45"/>
      <c r="I157" s="46"/>
      <c r="J157" s="46"/>
      <c r="K157" s="38" t="str">
        <f t="shared" si="18"/>
        <v/>
      </c>
      <c r="L157" s="46"/>
      <c r="M157" s="46"/>
      <c r="N157" s="45"/>
      <c r="O157" s="47"/>
      <c r="P157" s="74" t="b">
        <v>0</v>
      </c>
      <c r="Q157" s="46"/>
      <c r="R157" s="46"/>
      <c r="S157" s="38" t="str">
        <f t="shared" si="19"/>
        <v/>
      </c>
      <c r="T157" s="38" t="str">
        <f t="shared" ca="1" si="20"/>
        <v/>
      </c>
      <c r="U157" s="94"/>
      <c r="V157" t="str">
        <f>IF(AND(OR($P157="☑",$P157=TRUE,$P157=1,$P157="Y",$P157="Yes",$P157="✔",$P157="☒",$P157="X"),$D157&lt;&gt;""),COUNTIF($P$2:$P157,"☑")+COUNTIF($P$2:$P157,TRUE)+COUNTIF($P$2:$P157,1)+COUNTIF($P$2:$P157,"Y")+COUNTIF($P$2:$P157,"Yes")+COUNTIF($P$2:$P157,"✔")+COUNTIF($P$2:$P157,"☒")+COUNTIF($P$2:$P157,"X"),"")</f>
        <v/>
      </c>
    </row>
    <row r="158" spans="1:22" ht="14.15" customHeight="1" x14ac:dyDescent="0.25">
      <c r="A158" s="93" t="str">
        <f t="shared" si="17"/>
        <v/>
      </c>
      <c r="B158" s="45"/>
      <c r="C158" s="45"/>
      <c r="D158" s="45"/>
      <c r="E158" s="45"/>
      <c r="F158" s="45"/>
      <c r="G158" s="45"/>
      <c r="H158" s="45"/>
      <c r="I158" s="46"/>
      <c r="J158" s="46"/>
      <c r="K158" s="38" t="str">
        <f t="shared" si="18"/>
        <v/>
      </c>
      <c r="L158" s="46"/>
      <c r="M158" s="46"/>
      <c r="N158" s="45"/>
      <c r="O158" s="47"/>
      <c r="P158" s="74" t="b">
        <v>0</v>
      </c>
      <c r="Q158" s="46"/>
      <c r="R158" s="46"/>
      <c r="S158" s="38" t="str">
        <f t="shared" si="19"/>
        <v/>
      </c>
      <c r="T158" s="38" t="str">
        <f t="shared" ca="1" si="20"/>
        <v/>
      </c>
      <c r="U158" s="94"/>
      <c r="V158" t="str">
        <f>IF(AND(OR($P158="☑",$P158=TRUE,$P158=1,$P158="Y",$P158="Yes",$P158="✔",$P158="☒",$P158="X"),$D158&lt;&gt;""),COUNTIF($P$2:$P158,"☑")+COUNTIF($P$2:$P158,TRUE)+COUNTIF($P$2:$P158,1)+COUNTIF($P$2:$P158,"Y")+COUNTIF($P$2:$P158,"Yes")+COUNTIF($P$2:$P158,"✔")+COUNTIF($P$2:$P158,"☒")+COUNTIF($P$2:$P158,"X"),"")</f>
        <v/>
      </c>
    </row>
    <row r="159" spans="1:22" ht="14.15" customHeight="1" x14ac:dyDescent="0.25">
      <c r="A159" s="93" t="str">
        <f t="shared" si="17"/>
        <v/>
      </c>
      <c r="B159" s="45"/>
      <c r="C159" s="45"/>
      <c r="D159" s="45"/>
      <c r="E159" s="45"/>
      <c r="F159" s="45"/>
      <c r="G159" s="45"/>
      <c r="H159" s="45"/>
      <c r="I159" s="46"/>
      <c r="J159" s="46"/>
      <c r="K159" s="38" t="str">
        <f t="shared" si="18"/>
        <v/>
      </c>
      <c r="L159" s="46"/>
      <c r="M159" s="46"/>
      <c r="N159" s="45"/>
      <c r="O159" s="47"/>
      <c r="P159" s="74" t="b">
        <v>0</v>
      </c>
      <c r="Q159" s="46"/>
      <c r="R159" s="46"/>
      <c r="S159" s="38" t="str">
        <f t="shared" si="19"/>
        <v/>
      </c>
      <c r="T159" s="38" t="str">
        <f t="shared" ca="1" si="20"/>
        <v/>
      </c>
      <c r="U159" s="94"/>
      <c r="V159" t="str">
        <f>IF(AND(OR($P159="☑",$P159=TRUE,$P159=1,$P159="Y",$P159="Yes",$P159="✔",$P159="☒",$P159="X"),$D159&lt;&gt;""),COUNTIF($P$2:$P159,"☑")+COUNTIF($P$2:$P159,TRUE)+COUNTIF($P$2:$P159,1)+COUNTIF($P$2:$P159,"Y")+COUNTIF($P$2:$P159,"Yes")+COUNTIF($P$2:$P159,"✔")+COUNTIF($P$2:$P159,"☒")+COUNTIF($P$2:$P159,"X"),"")</f>
        <v/>
      </c>
    </row>
    <row r="160" spans="1:22" ht="14.15" customHeight="1" x14ac:dyDescent="0.25">
      <c r="A160" s="93" t="str">
        <f t="shared" si="17"/>
        <v/>
      </c>
      <c r="B160" s="45"/>
      <c r="C160" s="45"/>
      <c r="D160" s="45"/>
      <c r="E160" s="45"/>
      <c r="F160" s="45"/>
      <c r="G160" s="45"/>
      <c r="H160" s="45"/>
      <c r="I160" s="46"/>
      <c r="J160" s="46"/>
      <c r="K160" s="38" t="str">
        <f t="shared" si="18"/>
        <v/>
      </c>
      <c r="L160" s="46"/>
      <c r="M160" s="46"/>
      <c r="N160" s="45"/>
      <c r="O160" s="47"/>
      <c r="P160" s="74" t="b">
        <v>0</v>
      </c>
      <c r="Q160" s="46"/>
      <c r="R160" s="46"/>
      <c r="S160" s="38" t="str">
        <f t="shared" si="19"/>
        <v/>
      </c>
      <c r="T160" s="38" t="str">
        <f t="shared" ca="1" si="20"/>
        <v/>
      </c>
      <c r="U160" s="94"/>
      <c r="V160" t="str">
        <f>IF(AND(OR($P160="☑",$P160=TRUE,$P160=1,$P160="Y",$P160="Yes",$P160="✔",$P160="☒",$P160="X"),$D160&lt;&gt;""),COUNTIF($P$2:$P160,"☑")+COUNTIF($P$2:$P160,TRUE)+COUNTIF($P$2:$P160,1)+COUNTIF($P$2:$P160,"Y")+COUNTIF($P$2:$P160,"Yes")+COUNTIF($P$2:$P160,"✔")+COUNTIF($P$2:$P160,"☒")+COUNTIF($P$2:$P160,"X"),"")</f>
        <v/>
      </c>
    </row>
    <row r="161" spans="1:22" ht="14.15" customHeight="1" x14ac:dyDescent="0.25">
      <c r="A161" s="93" t="str">
        <f t="shared" si="17"/>
        <v/>
      </c>
      <c r="B161" s="45"/>
      <c r="C161" s="45"/>
      <c r="D161" s="45"/>
      <c r="E161" s="45"/>
      <c r="F161" s="45"/>
      <c r="G161" s="45"/>
      <c r="H161" s="45"/>
      <c r="I161" s="46"/>
      <c r="J161" s="46"/>
      <c r="K161" s="38" t="str">
        <f t="shared" si="18"/>
        <v/>
      </c>
      <c r="L161" s="46"/>
      <c r="M161" s="46"/>
      <c r="N161" s="45"/>
      <c r="O161" s="47"/>
      <c r="P161" s="74" t="b">
        <v>0</v>
      </c>
      <c r="Q161" s="46"/>
      <c r="R161" s="46"/>
      <c r="S161" s="38" t="str">
        <f t="shared" si="19"/>
        <v/>
      </c>
      <c r="T161" s="38" t="str">
        <f t="shared" ca="1" si="20"/>
        <v/>
      </c>
      <c r="U161" s="94"/>
      <c r="V161" t="str">
        <f>IF(AND(OR($P161="☑",$P161=TRUE,$P161=1,$P161="Y",$P161="Yes",$P161="✔",$P161="☒",$P161="X"),$D161&lt;&gt;""),COUNTIF($P$2:$P161,"☑")+COUNTIF($P$2:$P161,TRUE)+COUNTIF($P$2:$P161,1)+COUNTIF($P$2:$P161,"Y")+COUNTIF($P$2:$P161,"Yes")+COUNTIF($P$2:$P161,"✔")+COUNTIF($P$2:$P161,"☒")+COUNTIF($P$2:$P161,"X"),"")</f>
        <v/>
      </c>
    </row>
    <row r="162" spans="1:22" ht="14.15" customHeight="1" x14ac:dyDescent="0.25">
      <c r="A162" s="93" t="str">
        <f t="shared" ref="A162:A193" si="21">IF(D162="","","T-"&amp;TEXT(ROW()-1,"000"))</f>
        <v/>
      </c>
      <c r="B162" s="45"/>
      <c r="C162" s="45"/>
      <c r="D162" s="45"/>
      <c r="E162" s="45"/>
      <c r="F162" s="45"/>
      <c r="G162" s="45"/>
      <c r="H162" s="45"/>
      <c r="I162" s="46"/>
      <c r="J162" s="46"/>
      <c r="K162" s="38" t="str">
        <f t="shared" ref="K162:K193" si="22">IF(OR(I162="",J162=""),"",J162-I162+1)</f>
        <v/>
      </c>
      <c r="L162" s="46"/>
      <c r="M162" s="46"/>
      <c r="N162" s="45"/>
      <c r="O162" s="47"/>
      <c r="P162" s="74" t="b">
        <v>0</v>
      </c>
      <c r="Q162" s="46"/>
      <c r="R162" s="46"/>
      <c r="S162" s="38" t="str">
        <f t="shared" ref="S162:S193" si="23">IF(A162="","",IF(OR(R162="",J162=""),"",IF(M162&lt;&gt;"",M162-R162,J162-R162)))</f>
        <v/>
      </c>
      <c r="T162" s="38" t="str">
        <f t="shared" ref="T162:T193" ca="1" si="24">IF(A162="","",IF(N162="Completed","Green",IF(AND(J162&lt;&gt;"",TODAY()&gt;J162),"Red",IF(AND(J162&lt;&gt;"",TODAY()+3&gt;=J162),"Amber","Green"))))</f>
        <v/>
      </c>
      <c r="U162" s="94"/>
      <c r="V162" t="str">
        <f>IF(AND(OR($P162="☑",$P162=TRUE,$P162=1,$P162="Y",$P162="Yes",$P162="✔",$P162="☒",$P162="X"),$D162&lt;&gt;""),COUNTIF($P$2:$P162,"☑")+COUNTIF($P$2:$P162,TRUE)+COUNTIF($P$2:$P162,1)+COUNTIF($P$2:$P162,"Y")+COUNTIF($P$2:$P162,"Yes")+COUNTIF($P$2:$P162,"✔")+COUNTIF($P$2:$P162,"☒")+COUNTIF($P$2:$P162,"X"),"")</f>
        <v/>
      </c>
    </row>
    <row r="163" spans="1:22" ht="14.15" customHeight="1" x14ac:dyDescent="0.25">
      <c r="A163" s="93" t="str">
        <f t="shared" si="21"/>
        <v/>
      </c>
      <c r="B163" s="45"/>
      <c r="C163" s="45"/>
      <c r="D163" s="45"/>
      <c r="E163" s="45"/>
      <c r="F163" s="45"/>
      <c r="G163" s="45"/>
      <c r="H163" s="45"/>
      <c r="I163" s="46"/>
      <c r="J163" s="46"/>
      <c r="K163" s="38" t="str">
        <f t="shared" si="22"/>
        <v/>
      </c>
      <c r="L163" s="46"/>
      <c r="M163" s="46"/>
      <c r="N163" s="45"/>
      <c r="O163" s="47"/>
      <c r="P163" s="74" t="b">
        <v>0</v>
      </c>
      <c r="Q163" s="46"/>
      <c r="R163" s="46"/>
      <c r="S163" s="38" t="str">
        <f t="shared" si="23"/>
        <v/>
      </c>
      <c r="T163" s="38" t="str">
        <f t="shared" ca="1" si="24"/>
        <v/>
      </c>
      <c r="U163" s="94"/>
      <c r="V163" t="str">
        <f>IF(AND(OR($P163="☑",$P163=TRUE,$P163=1,$P163="Y",$P163="Yes",$P163="✔",$P163="☒",$P163="X"),$D163&lt;&gt;""),COUNTIF($P$2:$P163,"☑")+COUNTIF($P$2:$P163,TRUE)+COUNTIF($P$2:$P163,1)+COUNTIF($P$2:$P163,"Y")+COUNTIF($P$2:$P163,"Yes")+COUNTIF($P$2:$P163,"✔")+COUNTIF($P$2:$P163,"☒")+COUNTIF($P$2:$P163,"X"),"")</f>
        <v/>
      </c>
    </row>
    <row r="164" spans="1:22" ht="14.15" customHeight="1" x14ac:dyDescent="0.25">
      <c r="A164" s="93" t="str">
        <f t="shared" si="21"/>
        <v/>
      </c>
      <c r="B164" s="45"/>
      <c r="C164" s="45"/>
      <c r="D164" s="45"/>
      <c r="E164" s="45"/>
      <c r="F164" s="45"/>
      <c r="G164" s="45"/>
      <c r="H164" s="45"/>
      <c r="I164" s="46"/>
      <c r="J164" s="46"/>
      <c r="K164" s="38" t="str">
        <f t="shared" si="22"/>
        <v/>
      </c>
      <c r="L164" s="46"/>
      <c r="M164" s="46"/>
      <c r="N164" s="45"/>
      <c r="O164" s="47"/>
      <c r="P164" s="74" t="b">
        <v>0</v>
      </c>
      <c r="Q164" s="46"/>
      <c r="R164" s="46"/>
      <c r="S164" s="38" t="str">
        <f t="shared" si="23"/>
        <v/>
      </c>
      <c r="T164" s="38" t="str">
        <f t="shared" ca="1" si="24"/>
        <v/>
      </c>
      <c r="U164" s="94"/>
      <c r="V164" t="str">
        <f>IF(AND(OR($P164="☑",$P164=TRUE,$P164=1,$P164="Y",$P164="Yes",$P164="✔",$P164="☒",$P164="X"),$D164&lt;&gt;""),COUNTIF($P$2:$P164,"☑")+COUNTIF($P$2:$P164,TRUE)+COUNTIF($P$2:$P164,1)+COUNTIF($P$2:$P164,"Y")+COUNTIF($P$2:$P164,"Yes")+COUNTIF($P$2:$P164,"✔")+COUNTIF($P$2:$P164,"☒")+COUNTIF($P$2:$P164,"X"),"")</f>
        <v/>
      </c>
    </row>
    <row r="165" spans="1:22" ht="14.15" customHeight="1" x14ac:dyDescent="0.25">
      <c r="A165" s="93" t="str">
        <f t="shared" si="21"/>
        <v/>
      </c>
      <c r="B165" s="45"/>
      <c r="C165" s="45"/>
      <c r="D165" s="45"/>
      <c r="E165" s="45"/>
      <c r="F165" s="45"/>
      <c r="G165" s="45"/>
      <c r="H165" s="45"/>
      <c r="I165" s="46"/>
      <c r="J165" s="46"/>
      <c r="K165" s="38" t="str">
        <f t="shared" si="22"/>
        <v/>
      </c>
      <c r="L165" s="46"/>
      <c r="M165" s="46"/>
      <c r="N165" s="45"/>
      <c r="O165" s="47"/>
      <c r="P165" s="74" t="b">
        <v>0</v>
      </c>
      <c r="Q165" s="46"/>
      <c r="R165" s="46"/>
      <c r="S165" s="38" t="str">
        <f t="shared" si="23"/>
        <v/>
      </c>
      <c r="T165" s="38" t="str">
        <f t="shared" ca="1" si="24"/>
        <v/>
      </c>
      <c r="U165" s="94"/>
      <c r="V165" t="str">
        <f>IF(AND(OR($P165="☑",$P165=TRUE,$P165=1,$P165="Y",$P165="Yes",$P165="✔",$P165="☒",$P165="X"),$D165&lt;&gt;""),COUNTIF($P$2:$P165,"☑")+COUNTIF($P$2:$P165,TRUE)+COUNTIF($P$2:$P165,1)+COUNTIF($P$2:$P165,"Y")+COUNTIF($P$2:$P165,"Yes")+COUNTIF($P$2:$P165,"✔")+COUNTIF($P$2:$P165,"☒")+COUNTIF($P$2:$P165,"X"),"")</f>
        <v/>
      </c>
    </row>
    <row r="166" spans="1:22" ht="14.15" customHeight="1" x14ac:dyDescent="0.25">
      <c r="A166" s="93" t="str">
        <f t="shared" si="21"/>
        <v/>
      </c>
      <c r="B166" s="45"/>
      <c r="C166" s="45"/>
      <c r="D166" s="45"/>
      <c r="E166" s="45"/>
      <c r="F166" s="45"/>
      <c r="G166" s="45"/>
      <c r="H166" s="45"/>
      <c r="I166" s="46"/>
      <c r="J166" s="46"/>
      <c r="K166" s="38" t="str">
        <f t="shared" si="22"/>
        <v/>
      </c>
      <c r="L166" s="46"/>
      <c r="M166" s="46"/>
      <c r="N166" s="45"/>
      <c r="O166" s="47"/>
      <c r="P166" s="74" t="b">
        <v>0</v>
      </c>
      <c r="Q166" s="46"/>
      <c r="R166" s="46"/>
      <c r="S166" s="38" t="str">
        <f t="shared" si="23"/>
        <v/>
      </c>
      <c r="T166" s="38" t="str">
        <f t="shared" ca="1" si="24"/>
        <v/>
      </c>
      <c r="U166" s="94"/>
      <c r="V166" t="str">
        <f>IF(AND(OR($P166="☑",$P166=TRUE,$P166=1,$P166="Y",$P166="Yes",$P166="✔",$P166="☒",$P166="X"),$D166&lt;&gt;""),COUNTIF($P$2:$P166,"☑")+COUNTIF($P$2:$P166,TRUE)+COUNTIF($P$2:$P166,1)+COUNTIF($P$2:$P166,"Y")+COUNTIF($P$2:$P166,"Yes")+COUNTIF($P$2:$P166,"✔")+COUNTIF($P$2:$P166,"☒")+COUNTIF($P$2:$P166,"X"),"")</f>
        <v/>
      </c>
    </row>
    <row r="167" spans="1:22" ht="14.15" customHeight="1" x14ac:dyDescent="0.25">
      <c r="A167" s="93" t="str">
        <f t="shared" si="21"/>
        <v/>
      </c>
      <c r="B167" s="45"/>
      <c r="C167" s="45"/>
      <c r="D167" s="45"/>
      <c r="E167" s="45"/>
      <c r="F167" s="45"/>
      <c r="G167" s="45"/>
      <c r="H167" s="45"/>
      <c r="I167" s="46"/>
      <c r="J167" s="46"/>
      <c r="K167" s="38" t="str">
        <f t="shared" si="22"/>
        <v/>
      </c>
      <c r="L167" s="46"/>
      <c r="M167" s="46"/>
      <c r="N167" s="45"/>
      <c r="O167" s="47"/>
      <c r="P167" s="74" t="b">
        <v>0</v>
      </c>
      <c r="Q167" s="46"/>
      <c r="R167" s="46"/>
      <c r="S167" s="38" t="str">
        <f t="shared" si="23"/>
        <v/>
      </c>
      <c r="T167" s="38" t="str">
        <f t="shared" ca="1" si="24"/>
        <v/>
      </c>
      <c r="U167" s="94"/>
      <c r="V167" t="str">
        <f>IF(AND(OR($P167="☑",$P167=TRUE,$P167=1,$P167="Y",$P167="Yes",$P167="✔",$P167="☒",$P167="X"),$D167&lt;&gt;""),COUNTIF($P$2:$P167,"☑")+COUNTIF($P$2:$P167,TRUE)+COUNTIF($P$2:$P167,1)+COUNTIF($P$2:$P167,"Y")+COUNTIF($P$2:$P167,"Yes")+COUNTIF($P$2:$P167,"✔")+COUNTIF($P$2:$P167,"☒")+COUNTIF($P$2:$P167,"X"),"")</f>
        <v/>
      </c>
    </row>
    <row r="168" spans="1:22" ht="14.15" customHeight="1" x14ac:dyDescent="0.25">
      <c r="A168" s="93" t="str">
        <f t="shared" si="21"/>
        <v/>
      </c>
      <c r="B168" s="45"/>
      <c r="C168" s="45"/>
      <c r="D168" s="45"/>
      <c r="E168" s="45"/>
      <c r="F168" s="45"/>
      <c r="G168" s="45"/>
      <c r="H168" s="45"/>
      <c r="I168" s="46"/>
      <c r="J168" s="46"/>
      <c r="K168" s="38" t="str">
        <f t="shared" si="22"/>
        <v/>
      </c>
      <c r="L168" s="46"/>
      <c r="M168" s="46"/>
      <c r="N168" s="45"/>
      <c r="O168" s="47"/>
      <c r="P168" s="74" t="b">
        <v>0</v>
      </c>
      <c r="Q168" s="46"/>
      <c r="R168" s="46"/>
      <c r="S168" s="38" t="str">
        <f t="shared" si="23"/>
        <v/>
      </c>
      <c r="T168" s="38" t="str">
        <f t="shared" ca="1" si="24"/>
        <v/>
      </c>
      <c r="U168" s="94"/>
      <c r="V168" t="str">
        <f>IF(AND(OR($P168="☑",$P168=TRUE,$P168=1,$P168="Y",$P168="Yes",$P168="✔",$P168="☒",$P168="X"),$D168&lt;&gt;""),COUNTIF($P$2:$P168,"☑")+COUNTIF($P$2:$P168,TRUE)+COUNTIF($P$2:$P168,1)+COUNTIF($P$2:$P168,"Y")+COUNTIF($P$2:$P168,"Yes")+COUNTIF($P$2:$P168,"✔")+COUNTIF($P$2:$P168,"☒")+COUNTIF($P$2:$P168,"X"),"")</f>
        <v/>
      </c>
    </row>
    <row r="169" spans="1:22" ht="14.15" customHeight="1" x14ac:dyDescent="0.25">
      <c r="A169" s="93" t="str">
        <f t="shared" si="21"/>
        <v/>
      </c>
      <c r="B169" s="45"/>
      <c r="C169" s="45"/>
      <c r="D169" s="45"/>
      <c r="E169" s="45"/>
      <c r="F169" s="45"/>
      <c r="G169" s="45"/>
      <c r="H169" s="45"/>
      <c r="I169" s="46"/>
      <c r="J169" s="46"/>
      <c r="K169" s="38" t="str">
        <f t="shared" si="22"/>
        <v/>
      </c>
      <c r="L169" s="46"/>
      <c r="M169" s="46"/>
      <c r="N169" s="45"/>
      <c r="O169" s="47"/>
      <c r="P169" s="74" t="b">
        <v>0</v>
      </c>
      <c r="Q169" s="46"/>
      <c r="R169" s="46"/>
      <c r="S169" s="38" t="str">
        <f t="shared" si="23"/>
        <v/>
      </c>
      <c r="T169" s="38" t="str">
        <f t="shared" ca="1" si="24"/>
        <v/>
      </c>
      <c r="U169" s="94"/>
      <c r="V169" t="str">
        <f>IF(AND(OR($P169="☑",$P169=TRUE,$P169=1,$P169="Y",$P169="Yes",$P169="✔",$P169="☒",$P169="X"),$D169&lt;&gt;""),COUNTIF($P$2:$P169,"☑")+COUNTIF($P$2:$P169,TRUE)+COUNTIF($P$2:$P169,1)+COUNTIF($P$2:$P169,"Y")+COUNTIF($P$2:$P169,"Yes")+COUNTIF($P$2:$P169,"✔")+COUNTIF($P$2:$P169,"☒")+COUNTIF($P$2:$P169,"X"),"")</f>
        <v/>
      </c>
    </row>
    <row r="170" spans="1:22" ht="14.15" customHeight="1" x14ac:dyDescent="0.25">
      <c r="A170" s="93" t="str">
        <f t="shared" si="21"/>
        <v/>
      </c>
      <c r="B170" s="45"/>
      <c r="C170" s="45"/>
      <c r="D170" s="45"/>
      <c r="E170" s="45"/>
      <c r="F170" s="45"/>
      <c r="G170" s="45"/>
      <c r="H170" s="45"/>
      <c r="I170" s="46"/>
      <c r="J170" s="46"/>
      <c r="K170" s="38" t="str">
        <f t="shared" si="22"/>
        <v/>
      </c>
      <c r="L170" s="46"/>
      <c r="M170" s="46"/>
      <c r="N170" s="45"/>
      <c r="O170" s="47"/>
      <c r="P170" s="74" t="b">
        <v>0</v>
      </c>
      <c r="Q170" s="46"/>
      <c r="R170" s="46"/>
      <c r="S170" s="38" t="str">
        <f t="shared" si="23"/>
        <v/>
      </c>
      <c r="T170" s="38" t="str">
        <f t="shared" ca="1" si="24"/>
        <v/>
      </c>
      <c r="U170" s="94"/>
      <c r="V170" t="str">
        <f>IF(AND(OR($P170="☑",$P170=TRUE,$P170=1,$P170="Y",$P170="Yes",$P170="✔",$P170="☒",$P170="X"),$D170&lt;&gt;""),COUNTIF($P$2:$P170,"☑")+COUNTIF($P$2:$P170,TRUE)+COUNTIF($P$2:$P170,1)+COUNTIF($P$2:$P170,"Y")+COUNTIF($P$2:$P170,"Yes")+COUNTIF($P$2:$P170,"✔")+COUNTIF($P$2:$P170,"☒")+COUNTIF($P$2:$P170,"X"),"")</f>
        <v/>
      </c>
    </row>
    <row r="171" spans="1:22" ht="14.15" customHeight="1" x14ac:dyDescent="0.25">
      <c r="A171" s="93" t="str">
        <f t="shared" si="21"/>
        <v/>
      </c>
      <c r="B171" s="45"/>
      <c r="C171" s="45"/>
      <c r="D171" s="45"/>
      <c r="E171" s="45"/>
      <c r="F171" s="45"/>
      <c r="G171" s="45"/>
      <c r="H171" s="45"/>
      <c r="I171" s="46"/>
      <c r="J171" s="46"/>
      <c r="K171" s="38" t="str">
        <f t="shared" si="22"/>
        <v/>
      </c>
      <c r="L171" s="46"/>
      <c r="M171" s="46"/>
      <c r="N171" s="45"/>
      <c r="O171" s="47"/>
      <c r="P171" s="74" t="b">
        <v>0</v>
      </c>
      <c r="Q171" s="46"/>
      <c r="R171" s="46"/>
      <c r="S171" s="38" t="str">
        <f t="shared" si="23"/>
        <v/>
      </c>
      <c r="T171" s="38" t="str">
        <f t="shared" ca="1" si="24"/>
        <v/>
      </c>
      <c r="U171" s="94"/>
      <c r="V171" t="str">
        <f>IF(AND(OR($P171="☑",$P171=TRUE,$P171=1,$P171="Y",$P171="Yes",$P171="✔",$P171="☒",$P171="X"),$D171&lt;&gt;""),COUNTIF($P$2:$P171,"☑")+COUNTIF($P$2:$P171,TRUE)+COUNTIF($P$2:$P171,1)+COUNTIF($P$2:$P171,"Y")+COUNTIF($P$2:$P171,"Yes")+COUNTIF($P$2:$P171,"✔")+COUNTIF($P$2:$P171,"☒")+COUNTIF($P$2:$P171,"X"),"")</f>
        <v/>
      </c>
    </row>
    <row r="172" spans="1:22" ht="14.15" customHeight="1" x14ac:dyDescent="0.25">
      <c r="A172" s="93" t="str">
        <f t="shared" si="21"/>
        <v/>
      </c>
      <c r="B172" s="45"/>
      <c r="C172" s="45"/>
      <c r="D172" s="45"/>
      <c r="E172" s="45"/>
      <c r="F172" s="45"/>
      <c r="G172" s="45"/>
      <c r="H172" s="45"/>
      <c r="I172" s="46"/>
      <c r="J172" s="46"/>
      <c r="K172" s="38" t="str">
        <f t="shared" si="22"/>
        <v/>
      </c>
      <c r="L172" s="46"/>
      <c r="M172" s="46"/>
      <c r="N172" s="45"/>
      <c r="O172" s="47"/>
      <c r="P172" s="74" t="b">
        <v>0</v>
      </c>
      <c r="Q172" s="46"/>
      <c r="R172" s="46"/>
      <c r="S172" s="38" t="str">
        <f t="shared" si="23"/>
        <v/>
      </c>
      <c r="T172" s="38" t="str">
        <f t="shared" ca="1" si="24"/>
        <v/>
      </c>
      <c r="U172" s="94"/>
      <c r="V172" t="str">
        <f>IF(AND(OR($P172="☑",$P172=TRUE,$P172=1,$P172="Y",$P172="Yes",$P172="✔",$P172="☒",$P172="X"),$D172&lt;&gt;""),COUNTIF($P$2:$P172,"☑")+COUNTIF($P$2:$P172,TRUE)+COUNTIF($P$2:$P172,1)+COUNTIF($P$2:$P172,"Y")+COUNTIF($P$2:$P172,"Yes")+COUNTIF($P$2:$P172,"✔")+COUNTIF($P$2:$P172,"☒")+COUNTIF($P$2:$P172,"X"),"")</f>
        <v/>
      </c>
    </row>
    <row r="173" spans="1:22" ht="14.15" customHeight="1" x14ac:dyDescent="0.25">
      <c r="A173" s="93" t="str">
        <f t="shared" si="21"/>
        <v/>
      </c>
      <c r="B173" s="45"/>
      <c r="C173" s="45"/>
      <c r="D173" s="45"/>
      <c r="E173" s="45"/>
      <c r="F173" s="45"/>
      <c r="G173" s="45"/>
      <c r="H173" s="45"/>
      <c r="I173" s="46"/>
      <c r="J173" s="46"/>
      <c r="K173" s="38" t="str">
        <f t="shared" si="22"/>
        <v/>
      </c>
      <c r="L173" s="46"/>
      <c r="M173" s="46"/>
      <c r="N173" s="45"/>
      <c r="O173" s="47"/>
      <c r="P173" s="74" t="b">
        <v>0</v>
      </c>
      <c r="Q173" s="46"/>
      <c r="R173" s="46"/>
      <c r="S173" s="38" t="str">
        <f t="shared" si="23"/>
        <v/>
      </c>
      <c r="T173" s="38" t="str">
        <f t="shared" ca="1" si="24"/>
        <v/>
      </c>
      <c r="U173" s="94"/>
      <c r="V173" t="str">
        <f>IF(AND(OR($P173="☑",$P173=TRUE,$P173=1,$P173="Y",$P173="Yes",$P173="✔",$P173="☒",$P173="X"),$D173&lt;&gt;""),COUNTIF($P$2:$P173,"☑")+COUNTIF($P$2:$P173,TRUE)+COUNTIF($P$2:$P173,1)+COUNTIF($P$2:$P173,"Y")+COUNTIF($P$2:$P173,"Yes")+COUNTIF($P$2:$P173,"✔")+COUNTIF($P$2:$P173,"☒")+COUNTIF($P$2:$P173,"X"),"")</f>
        <v/>
      </c>
    </row>
    <row r="174" spans="1:22" ht="14.15" customHeight="1" x14ac:dyDescent="0.25">
      <c r="A174" s="93" t="str">
        <f t="shared" si="21"/>
        <v/>
      </c>
      <c r="B174" s="45"/>
      <c r="C174" s="45"/>
      <c r="D174" s="45"/>
      <c r="E174" s="45"/>
      <c r="F174" s="45"/>
      <c r="G174" s="45"/>
      <c r="H174" s="45"/>
      <c r="I174" s="46"/>
      <c r="J174" s="46"/>
      <c r="K174" s="38" t="str">
        <f t="shared" si="22"/>
        <v/>
      </c>
      <c r="L174" s="46"/>
      <c r="M174" s="46"/>
      <c r="N174" s="45"/>
      <c r="O174" s="47"/>
      <c r="P174" s="74" t="b">
        <v>0</v>
      </c>
      <c r="Q174" s="46"/>
      <c r="R174" s="46"/>
      <c r="S174" s="38" t="str">
        <f t="shared" si="23"/>
        <v/>
      </c>
      <c r="T174" s="38" t="str">
        <f t="shared" ca="1" si="24"/>
        <v/>
      </c>
      <c r="U174" s="94"/>
      <c r="V174" t="str">
        <f>IF(AND(OR($P174="☑",$P174=TRUE,$P174=1,$P174="Y",$P174="Yes",$P174="✔",$P174="☒",$P174="X"),$D174&lt;&gt;""),COUNTIF($P$2:$P174,"☑")+COUNTIF($P$2:$P174,TRUE)+COUNTIF($P$2:$P174,1)+COUNTIF($P$2:$P174,"Y")+COUNTIF($P$2:$P174,"Yes")+COUNTIF($P$2:$P174,"✔")+COUNTIF($P$2:$P174,"☒")+COUNTIF($P$2:$P174,"X"),"")</f>
        <v/>
      </c>
    </row>
    <row r="175" spans="1:22" ht="14.15" customHeight="1" x14ac:dyDescent="0.25">
      <c r="A175" s="93" t="str">
        <f t="shared" si="21"/>
        <v/>
      </c>
      <c r="B175" s="45"/>
      <c r="C175" s="45"/>
      <c r="D175" s="45"/>
      <c r="E175" s="45"/>
      <c r="F175" s="45"/>
      <c r="G175" s="45"/>
      <c r="H175" s="45"/>
      <c r="I175" s="46"/>
      <c r="J175" s="46"/>
      <c r="K175" s="38" t="str">
        <f t="shared" si="22"/>
        <v/>
      </c>
      <c r="L175" s="46"/>
      <c r="M175" s="46"/>
      <c r="N175" s="45"/>
      <c r="O175" s="47"/>
      <c r="P175" s="74" t="b">
        <v>0</v>
      </c>
      <c r="Q175" s="46"/>
      <c r="R175" s="46"/>
      <c r="S175" s="38" t="str">
        <f t="shared" si="23"/>
        <v/>
      </c>
      <c r="T175" s="38" t="str">
        <f t="shared" ca="1" si="24"/>
        <v/>
      </c>
      <c r="U175" s="94"/>
      <c r="V175" t="str">
        <f>IF(AND(OR($P175="☑",$P175=TRUE,$P175=1,$P175="Y",$P175="Yes",$P175="✔",$P175="☒",$P175="X"),$D175&lt;&gt;""),COUNTIF($P$2:$P175,"☑")+COUNTIF($P$2:$P175,TRUE)+COUNTIF($P$2:$P175,1)+COUNTIF($P$2:$P175,"Y")+COUNTIF($P$2:$P175,"Yes")+COUNTIF($P$2:$P175,"✔")+COUNTIF($P$2:$P175,"☒")+COUNTIF($P$2:$P175,"X"),"")</f>
        <v/>
      </c>
    </row>
    <row r="176" spans="1:22" ht="14.15" customHeight="1" x14ac:dyDescent="0.25">
      <c r="A176" s="93" t="str">
        <f t="shared" si="21"/>
        <v/>
      </c>
      <c r="B176" s="45"/>
      <c r="C176" s="45"/>
      <c r="D176" s="45"/>
      <c r="E176" s="45"/>
      <c r="F176" s="45"/>
      <c r="G176" s="45"/>
      <c r="H176" s="45"/>
      <c r="I176" s="46"/>
      <c r="J176" s="46"/>
      <c r="K176" s="38" t="str">
        <f t="shared" si="22"/>
        <v/>
      </c>
      <c r="L176" s="46"/>
      <c r="M176" s="46"/>
      <c r="N176" s="45"/>
      <c r="O176" s="47"/>
      <c r="P176" s="74" t="b">
        <v>0</v>
      </c>
      <c r="Q176" s="46"/>
      <c r="R176" s="46"/>
      <c r="S176" s="38" t="str">
        <f t="shared" si="23"/>
        <v/>
      </c>
      <c r="T176" s="38" t="str">
        <f t="shared" ca="1" si="24"/>
        <v/>
      </c>
      <c r="U176" s="94"/>
      <c r="V176" t="str">
        <f>IF(AND(OR($P176="☑",$P176=TRUE,$P176=1,$P176="Y",$P176="Yes",$P176="✔",$P176="☒",$P176="X"),$D176&lt;&gt;""),COUNTIF($P$2:$P176,"☑")+COUNTIF($P$2:$P176,TRUE)+COUNTIF($P$2:$P176,1)+COUNTIF($P$2:$P176,"Y")+COUNTIF($P$2:$P176,"Yes")+COUNTIF($P$2:$P176,"✔")+COUNTIF($P$2:$P176,"☒")+COUNTIF($P$2:$P176,"X"),"")</f>
        <v/>
      </c>
    </row>
    <row r="177" spans="1:22" ht="14.15" customHeight="1" x14ac:dyDescent="0.25">
      <c r="A177" s="93" t="str">
        <f t="shared" si="21"/>
        <v/>
      </c>
      <c r="B177" s="45"/>
      <c r="C177" s="45"/>
      <c r="D177" s="45"/>
      <c r="E177" s="45"/>
      <c r="F177" s="45"/>
      <c r="G177" s="45"/>
      <c r="H177" s="45"/>
      <c r="I177" s="46"/>
      <c r="J177" s="46"/>
      <c r="K177" s="38" t="str">
        <f t="shared" si="22"/>
        <v/>
      </c>
      <c r="L177" s="46"/>
      <c r="M177" s="46"/>
      <c r="N177" s="45"/>
      <c r="O177" s="47"/>
      <c r="P177" s="74" t="b">
        <v>0</v>
      </c>
      <c r="Q177" s="46"/>
      <c r="R177" s="46"/>
      <c r="S177" s="38" t="str">
        <f t="shared" si="23"/>
        <v/>
      </c>
      <c r="T177" s="38" t="str">
        <f t="shared" ca="1" si="24"/>
        <v/>
      </c>
      <c r="U177" s="94"/>
      <c r="V177" t="str">
        <f>IF(AND(OR($P177="☑",$P177=TRUE,$P177=1,$P177="Y",$P177="Yes",$P177="✔",$P177="☒",$P177="X"),$D177&lt;&gt;""),COUNTIF($P$2:$P177,"☑")+COUNTIF($P$2:$P177,TRUE)+COUNTIF($P$2:$P177,1)+COUNTIF($P$2:$P177,"Y")+COUNTIF($P$2:$P177,"Yes")+COUNTIF($P$2:$P177,"✔")+COUNTIF($P$2:$P177,"☒")+COUNTIF($P$2:$P177,"X"),"")</f>
        <v/>
      </c>
    </row>
    <row r="178" spans="1:22" ht="14.15" customHeight="1" x14ac:dyDescent="0.25">
      <c r="A178" s="93" t="str">
        <f t="shared" si="21"/>
        <v/>
      </c>
      <c r="B178" s="45"/>
      <c r="C178" s="45"/>
      <c r="D178" s="45"/>
      <c r="E178" s="45"/>
      <c r="F178" s="45"/>
      <c r="G178" s="45"/>
      <c r="H178" s="45"/>
      <c r="I178" s="46"/>
      <c r="J178" s="46"/>
      <c r="K178" s="38" t="str">
        <f t="shared" si="22"/>
        <v/>
      </c>
      <c r="L178" s="46"/>
      <c r="M178" s="46"/>
      <c r="N178" s="45"/>
      <c r="O178" s="47"/>
      <c r="P178" s="74" t="b">
        <v>0</v>
      </c>
      <c r="Q178" s="46"/>
      <c r="R178" s="46"/>
      <c r="S178" s="38" t="str">
        <f t="shared" si="23"/>
        <v/>
      </c>
      <c r="T178" s="38" t="str">
        <f t="shared" ca="1" si="24"/>
        <v/>
      </c>
      <c r="U178" s="94"/>
      <c r="V178" t="str">
        <f>IF(AND(OR($P178="☑",$P178=TRUE,$P178=1,$P178="Y",$P178="Yes",$P178="✔",$P178="☒",$P178="X"),$D178&lt;&gt;""),COUNTIF($P$2:$P178,"☑")+COUNTIF($P$2:$P178,TRUE)+COUNTIF($P$2:$P178,1)+COUNTIF($P$2:$P178,"Y")+COUNTIF($P$2:$P178,"Yes")+COUNTIF($P$2:$P178,"✔")+COUNTIF($P$2:$P178,"☒")+COUNTIF($P$2:$P178,"X"),"")</f>
        <v/>
      </c>
    </row>
    <row r="179" spans="1:22" ht="14.15" customHeight="1" x14ac:dyDescent="0.25">
      <c r="A179" s="93" t="str">
        <f t="shared" si="21"/>
        <v/>
      </c>
      <c r="B179" s="45"/>
      <c r="C179" s="45"/>
      <c r="D179" s="45"/>
      <c r="E179" s="45"/>
      <c r="F179" s="45"/>
      <c r="G179" s="45"/>
      <c r="H179" s="45"/>
      <c r="I179" s="46"/>
      <c r="J179" s="46"/>
      <c r="K179" s="38" t="str">
        <f t="shared" si="22"/>
        <v/>
      </c>
      <c r="L179" s="46"/>
      <c r="M179" s="46"/>
      <c r="N179" s="45"/>
      <c r="O179" s="47"/>
      <c r="P179" s="74" t="b">
        <v>0</v>
      </c>
      <c r="Q179" s="46"/>
      <c r="R179" s="46"/>
      <c r="S179" s="38" t="str">
        <f t="shared" si="23"/>
        <v/>
      </c>
      <c r="T179" s="38" t="str">
        <f t="shared" ca="1" si="24"/>
        <v/>
      </c>
      <c r="U179" s="94"/>
      <c r="V179" t="str">
        <f>IF(AND(OR($P179="☑",$P179=TRUE,$P179=1,$P179="Y",$P179="Yes",$P179="✔",$P179="☒",$P179="X"),$D179&lt;&gt;""),COUNTIF($P$2:$P179,"☑")+COUNTIF($P$2:$P179,TRUE)+COUNTIF($P$2:$P179,1)+COUNTIF($P$2:$P179,"Y")+COUNTIF($P$2:$P179,"Yes")+COUNTIF($P$2:$P179,"✔")+COUNTIF($P$2:$P179,"☒")+COUNTIF($P$2:$P179,"X"),"")</f>
        <v/>
      </c>
    </row>
    <row r="180" spans="1:22" ht="14.15" customHeight="1" x14ac:dyDescent="0.25">
      <c r="A180" s="93" t="str">
        <f t="shared" si="21"/>
        <v/>
      </c>
      <c r="B180" s="45"/>
      <c r="C180" s="45"/>
      <c r="D180" s="45"/>
      <c r="E180" s="45"/>
      <c r="F180" s="45"/>
      <c r="G180" s="45"/>
      <c r="H180" s="45"/>
      <c r="I180" s="46"/>
      <c r="J180" s="46"/>
      <c r="K180" s="38" t="str">
        <f t="shared" si="22"/>
        <v/>
      </c>
      <c r="L180" s="46"/>
      <c r="M180" s="46"/>
      <c r="N180" s="45"/>
      <c r="O180" s="47"/>
      <c r="P180" s="74" t="b">
        <v>0</v>
      </c>
      <c r="Q180" s="46"/>
      <c r="R180" s="46"/>
      <c r="S180" s="38" t="str">
        <f t="shared" si="23"/>
        <v/>
      </c>
      <c r="T180" s="38" t="str">
        <f t="shared" ca="1" si="24"/>
        <v/>
      </c>
      <c r="U180" s="94"/>
      <c r="V180" t="str">
        <f>IF(AND(OR($P180="☑",$P180=TRUE,$P180=1,$P180="Y",$P180="Yes",$P180="✔",$P180="☒",$P180="X"),$D180&lt;&gt;""),COUNTIF($P$2:$P180,"☑")+COUNTIF($P$2:$P180,TRUE)+COUNTIF($P$2:$P180,1)+COUNTIF($P$2:$P180,"Y")+COUNTIF($P$2:$P180,"Yes")+COUNTIF($P$2:$P180,"✔")+COUNTIF($P$2:$P180,"☒")+COUNTIF($P$2:$P180,"X"),"")</f>
        <v/>
      </c>
    </row>
    <row r="181" spans="1:22" ht="14.15" customHeight="1" x14ac:dyDescent="0.25">
      <c r="A181" s="93" t="str">
        <f t="shared" si="21"/>
        <v/>
      </c>
      <c r="B181" s="45"/>
      <c r="C181" s="45"/>
      <c r="D181" s="45"/>
      <c r="E181" s="45"/>
      <c r="F181" s="45"/>
      <c r="G181" s="45"/>
      <c r="H181" s="45"/>
      <c r="I181" s="46"/>
      <c r="J181" s="46"/>
      <c r="K181" s="38" t="str">
        <f t="shared" si="22"/>
        <v/>
      </c>
      <c r="L181" s="46"/>
      <c r="M181" s="46"/>
      <c r="N181" s="45"/>
      <c r="O181" s="47"/>
      <c r="P181" s="74" t="b">
        <v>0</v>
      </c>
      <c r="Q181" s="46"/>
      <c r="R181" s="46"/>
      <c r="S181" s="38" t="str">
        <f t="shared" si="23"/>
        <v/>
      </c>
      <c r="T181" s="38" t="str">
        <f t="shared" ca="1" si="24"/>
        <v/>
      </c>
      <c r="U181" s="94"/>
      <c r="V181" t="str">
        <f>IF(AND(OR($P181="☑",$P181=TRUE,$P181=1,$P181="Y",$P181="Yes",$P181="✔",$P181="☒",$P181="X"),$D181&lt;&gt;""),COUNTIF($P$2:$P181,"☑")+COUNTIF($P$2:$P181,TRUE)+COUNTIF($P$2:$P181,1)+COUNTIF($P$2:$P181,"Y")+COUNTIF($P$2:$P181,"Yes")+COUNTIF($P$2:$P181,"✔")+COUNTIF($P$2:$P181,"☒")+COUNTIF($P$2:$P181,"X"),"")</f>
        <v/>
      </c>
    </row>
    <row r="182" spans="1:22" ht="14.15" customHeight="1" x14ac:dyDescent="0.25">
      <c r="A182" s="93" t="str">
        <f t="shared" si="21"/>
        <v/>
      </c>
      <c r="B182" s="45"/>
      <c r="C182" s="45"/>
      <c r="D182" s="45"/>
      <c r="E182" s="45"/>
      <c r="F182" s="45"/>
      <c r="G182" s="45"/>
      <c r="H182" s="45"/>
      <c r="I182" s="46"/>
      <c r="J182" s="46"/>
      <c r="K182" s="38" t="str">
        <f t="shared" si="22"/>
        <v/>
      </c>
      <c r="L182" s="46"/>
      <c r="M182" s="46"/>
      <c r="N182" s="45"/>
      <c r="O182" s="47"/>
      <c r="P182" s="74" t="b">
        <v>0</v>
      </c>
      <c r="Q182" s="46"/>
      <c r="R182" s="46"/>
      <c r="S182" s="38" t="str">
        <f t="shared" si="23"/>
        <v/>
      </c>
      <c r="T182" s="38" t="str">
        <f t="shared" ca="1" si="24"/>
        <v/>
      </c>
      <c r="U182" s="94"/>
      <c r="V182" t="str">
        <f>IF(AND(OR($P182="☑",$P182=TRUE,$P182=1,$P182="Y",$P182="Yes",$P182="✔",$P182="☒",$P182="X"),$D182&lt;&gt;""),COUNTIF($P$2:$P182,"☑")+COUNTIF($P$2:$P182,TRUE)+COUNTIF($P$2:$P182,1)+COUNTIF($P$2:$P182,"Y")+COUNTIF($P$2:$P182,"Yes")+COUNTIF($P$2:$P182,"✔")+COUNTIF($P$2:$P182,"☒")+COUNTIF($P$2:$P182,"X"),"")</f>
        <v/>
      </c>
    </row>
    <row r="183" spans="1:22" ht="14.15" customHeight="1" x14ac:dyDescent="0.25">
      <c r="A183" s="93" t="str">
        <f t="shared" si="21"/>
        <v/>
      </c>
      <c r="B183" s="45"/>
      <c r="C183" s="45"/>
      <c r="D183" s="45"/>
      <c r="E183" s="45"/>
      <c r="F183" s="45"/>
      <c r="G183" s="45"/>
      <c r="H183" s="45"/>
      <c r="I183" s="46"/>
      <c r="J183" s="46"/>
      <c r="K183" s="38" t="str">
        <f t="shared" si="22"/>
        <v/>
      </c>
      <c r="L183" s="46"/>
      <c r="M183" s="46"/>
      <c r="N183" s="45"/>
      <c r="O183" s="47"/>
      <c r="P183" s="74" t="b">
        <v>0</v>
      </c>
      <c r="Q183" s="46"/>
      <c r="R183" s="46"/>
      <c r="S183" s="38" t="str">
        <f t="shared" si="23"/>
        <v/>
      </c>
      <c r="T183" s="38" t="str">
        <f t="shared" ca="1" si="24"/>
        <v/>
      </c>
      <c r="U183" s="94"/>
      <c r="V183" t="str">
        <f>IF(AND(OR($P183="☑",$P183=TRUE,$P183=1,$P183="Y",$P183="Yes",$P183="✔",$P183="☒",$P183="X"),$D183&lt;&gt;""),COUNTIF($P$2:$P183,"☑")+COUNTIF($P$2:$P183,TRUE)+COUNTIF($P$2:$P183,1)+COUNTIF($P$2:$P183,"Y")+COUNTIF($P$2:$P183,"Yes")+COUNTIF($P$2:$P183,"✔")+COUNTIF($P$2:$P183,"☒")+COUNTIF($P$2:$P183,"X"),"")</f>
        <v/>
      </c>
    </row>
    <row r="184" spans="1:22" ht="14.15" customHeight="1" x14ac:dyDescent="0.25">
      <c r="A184" s="93" t="str">
        <f t="shared" si="21"/>
        <v/>
      </c>
      <c r="B184" s="45"/>
      <c r="C184" s="45"/>
      <c r="D184" s="45"/>
      <c r="E184" s="45"/>
      <c r="F184" s="45"/>
      <c r="G184" s="45"/>
      <c r="H184" s="45"/>
      <c r="I184" s="46"/>
      <c r="J184" s="46"/>
      <c r="K184" s="38" t="str">
        <f t="shared" si="22"/>
        <v/>
      </c>
      <c r="L184" s="46"/>
      <c r="M184" s="46"/>
      <c r="N184" s="45"/>
      <c r="O184" s="47"/>
      <c r="P184" s="74" t="b">
        <v>0</v>
      </c>
      <c r="Q184" s="46"/>
      <c r="R184" s="46"/>
      <c r="S184" s="38" t="str">
        <f t="shared" si="23"/>
        <v/>
      </c>
      <c r="T184" s="38" t="str">
        <f t="shared" ca="1" si="24"/>
        <v/>
      </c>
      <c r="U184" s="94"/>
      <c r="V184" t="str">
        <f>IF(AND(OR($P184="☑",$P184=TRUE,$P184=1,$P184="Y",$P184="Yes",$P184="✔",$P184="☒",$P184="X"),$D184&lt;&gt;""),COUNTIF($P$2:$P184,"☑")+COUNTIF($P$2:$P184,TRUE)+COUNTIF($P$2:$P184,1)+COUNTIF($P$2:$P184,"Y")+COUNTIF($P$2:$P184,"Yes")+COUNTIF($P$2:$P184,"✔")+COUNTIF($P$2:$P184,"☒")+COUNTIF($P$2:$P184,"X"),"")</f>
        <v/>
      </c>
    </row>
    <row r="185" spans="1:22" ht="14.15" customHeight="1" x14ac:dyDescent="0.25">
      <c r="A185" s="93" t="str">
        <f t="shared" si="21"/>
        <v/>
      </c>
      <c r="B185" s="45"/>
      <c r="C185" s="45"/>
      <c r="D185" s="45"/>
      <c r="E185" s="45"/>
      <c r="F185" s="45"/>
      <c r="G185" s="45"/>
      <c r="H185" s="45"/>
      <c r="I185" s="46"/>
      <c r="J185" s="46"/>
      <c r="K185" s="38" t="str">
        <f t="shared" si="22"/>
        <v/>
      </c>
      <c r="L185" s="46"/>
      <c r="M185" s="46"/>
      <c r="N185" s="45"/>
      <c r="O185" s="47"/>
      <c r="P185" s="74" t="b">
        <v>0</v>
      </c>
      <c r="Q185" s="46"/>
      <c r="R185" s="46"/>
      <c r="S185" s="38" t="str">
        <f t="shared" si="23"/>
        <v/>
      </c>
      <c r="T185" s="38" t="str">
        <f t="shared" ca="1" si="24"/>
        <v/>
      </c>
      <c r="U185" s="94"/>
      <c r="V185" t="str">
        <f>IF(AND(OR($P185="☑",$P185=TRUE,$P185=1,$P185="Y",$P185="Yes",$P185="✔",$P185="☒",$P185="X"),$D185&lt;&gt;""),COUNTIF($P$2:$P185,"☑")+COUNTIF($P$2:$P185,TRUE)+COUNTIF($P$2:$P185,1)+COUNTIF($P$2:$P185,"Y")+COUNTIF($P$2:$P185,"Yes")+COUNTIF($P$2:$P185,"✔")+COUNTIF($P$2:$P185,"☒")+COUNTIF($P$2:$P185,"X"),"")</f>
        <v/>
      </c>
    </row>
    <row r="186" spans="1:22" ht="14.15" customHeight="1" x14ac:dyDescent="0.25">
      <c r="A186" s="93" t="str">
        <f t="shared" si="21"/>
        <v/>
      </c>
      <c r="B186" s="45"/>
      <c r="C186" s="45"/>
      <c r="D186" s="45"/>
      <c r="E186" s="45"/>
      <c r="F186" s="45"/>
      <c r="G186" s="45"/>
      <c r="H186" s="45"/>
      <c r="I186" s="46"/>
      <c r="J186" s="46"/>
      <c r="K186" s="38" t="str">
        <f t="shared" si="22"/>
        <v/>
      </c>
      <c r="L186" s="46"/>
      <c r="M186" s="46"/>
      <c r="N186" s="45"/>
      <c r="O186" s="47"/>
      <c r="P186" s="74" t="b">
        <v>0</v>
      </c>
      <c r="Q186" s="46"/>
      <c r="R186" s="46"/>
      <c r="S186" s="38" t="str">
        <f t="shared" si="23"/>
        <v/>
      </c>
      <c r="T186" s="38" t="str">
        <f t="shared" ca="1" si="24"/>
        <v/>
      </c>
      <c r="U186" s="94"/>
      <c r="V186" t="str">
        <f>IF(AND(OR($P186="☑",$P186=TRUE,$P186=1,$P186="Y",$P186="Yes",$P186="✔",$P186="☒",$P186="X"),$D186&lt;&gt;""),COUNTIF($P$2:$P186,"☑")+COUNTIF($P$2:$P186,TRUE)+COUNTIF($P$2:$P186,1)+COUNTIF($P$2:$P186,"Y")+COUNTIF($P$2:$P186,"Yes")+COUNTIF($P$2:$P186,"✔")+COUNTIF($P$2:$P186,"☒")+COUNTIF($P$2:$P186,"X"),"")</f>
        <v/>
      </c>
    </row>
    <row r="187" spans="1:22" ht="14.15" customHeight="1" x14ac:dyDescent="0.25">
      <c r="A187" s="93" t="str">
        <f t="shared" si="21"/>
        <v/>
      </c>
      <c r="B187" s="45"/>
      <c r="C187" s="45"/>
      <c r="D187" s="45"/>
      <c r="E187" s="45"/>
      <c r="F187" s="45"/>
      <c r="G187" s="45"/>
      <c r="H187" s="45"/>
      <c r="I187" s="46"/>
      <c r="J187" s="46"/>
      <c r="K187" s="38" t="str">
        <f t="shared" si="22"/>
        <v/>
      </c>
      <c r="L187" s="46"/>
      <c r="M187" s="46"/>
      <c r="N187" s="45"/>
      <c r="O187" s="47"/>
      <c r="P187" s="74" t="b">
        <v>0</v>
      </c>
      <c r="Q187" s="46"/>
      <c r="R187" s="46"/>
      <c r="S187" s="38" t="str">
        <f t="shared" si="23"/>
        <v/>
      </c>
      <c r="T187" s="38" t="str">
        <f t="shared" ca="1" si="24"/>
        <v/>
      </c>
      <c r="U187" s="94"/>
      <c r="V187" t="str">
        <f>IF(AND(OR($P187="☑",$P187=TRUE,$P187=1,$P187="Y",$P187="Yes",$P187="✔",$P187="☒",$P187="X"),$D187&lt;&gt;""),COUNTIF($P$2:$P187,"☑")+COUNTIF($P$2:$P187,TRUE)+COUNTIF($P$2:$P187,1)+COUNTIF($P$2:$P187,"Y")+COUNTIF($P$2:$P187,"Yes")+COUNTIF($P$2:$P187,"✔")+COUNTIF($P$2:$P187,"☒")+COUNTIF($P$2:$P187,"X"),"")</f>
        <v/>
      </c>
    </row>
    <row r="188" spans="1:22" ht="14.15" customHeight="1" x14ac:dyDescent="0.25">
      <c r="A188" s="93" t="str">
        <f t="shared" si="21"/>
        <v/>
      </c>
      <c r="B188" s="45"/>
      <c r="C188" s="45"/>
      <c r="D188" s="45"/>
      <c r="E188" s="45"/>
      <c r="F188" s="45"/>
      <c r="G188" s="45"/>
      <c r="H188" s="45"/>
      <c r="I188" s="46"/>
      <c r="J188" s="46"/>
      <c r="K188" s="38" t="str">
        <f t="shared" si="22"/>
        <v/>
      </c>
      <c r="L188" s="46"/>
      <c r="M188" s="46"/>
      <c r="N188" s="45"/>
      <c r="O188" s="47"/>
      <c r="P188" s="74" t="b">
        <v>0</v>
      </c>
      <c r="Q188" s="46"/>
      <c r="R188" s="46"/>
      <c r="S188" s="38" t="str">
        <f t="shared" si="23"/>
        <v/>
      </c>
      <c r="T188" s="38" t="str">
        <f t="shared" ca="1" si="24"/>
        <v/>
      </c>
      <c r="U188" s="94"/>
      <c r="V188" t="str">
        <f>IF(AND(OR($P188="☑",$P188=TRUE,$P188=1,$P188="Y",$P188="Yes",$P188="✔",$P188="☒",$P188="X"),$D188&lt;&gt;""),COUNTIF($P$2:$P188,"☑")+COUNTIF($P$2:$P188,TRUE)+COUNTIF($P$2:$P188,1)+COUNTIF($P$2:$P188,"Y")+COUNTIF($P$2:$P188,"Yes")+COUNTIF($P$2:$P188,"✔")+COUNTIF($P$2:$P188,"☒")+COUNTIF($P$2:$P188,"X"),"")</f>
        <v/>
      </c>
    </row>
    <row r="189" spans="1:22" ht="14.15" customHeight="1" x14ac:dyDescent="0.25">
      <c r="A189" s="93" t="str">
        <f t="shared" si="21"/>
        <v/>
      </c>
      <c r="B189" s="45"/>
      <c r="C189" s="45"/>
      <c r="D189" s="45"/>
      <c r="E189" s="45"/>
      <c r="F189" s="45"/>
      <c r="G189" s="45"/>
      <c r="H189" s="45"/>
      <c r="I189" s="46"/>
      <c r="J189" s="46"/>
      <c r="K189" s="38" t="str">
        <f t="shared" si="22"/>
        <v/>
      </c>
      <c r="L189" s="46"/>
      <c r="M189" s="46"/>
      <c r="N189" s="45"/>
      <c r="O189" s="47"/>
      <c r="P189" s="74" t="b">
        <v>0</v>
      </c>
      <c r="Q189" s="46"/>
      <c r="R189" s="46"/>
      <c r="S189" s="38" t="str">
        <f t="shared" si="23"/>
        <v/>
      </c>
      <c r="T189" s="38" t="str">
        <f t="shared" ca="1" si="24"/>
        <v/>
      </c>
      <c r="U189" s="94"/>
      <c r="V189" t="str">
        <f>IF(AND(OR($P189="☑",$P189=TRUE,$P189=1,$P189="Y",$P189="Yes",$P189="✔",$P189="☒",$P189="X"),$D189&lt;&gt;""),COUNTIF($P$2:$P189,"☑")+COUNTIF($P$2:$P189,TRUE)+COUNTIF($P$2:$P189,1)+COUNTIF($P$2:$P189,"Y")+COUNTIF($P$2:$P189,"Yes")+COUNTIF($P$2:$P189,"✔")+COUNTIF($P$2:$P189,"☒")+COUNTIF($P$2:$P189,"X"),"")</f>
        <v/>
      </c>
    </row>
    <row r="190" spans="1:22" ht="14.15" customHeight="1" x14ac:dyDescent="0.25">
      <c r="A190" s="93" t="str">
        <f t="shared" si="21"/>
        <v/>
      </c>
      <c r="B190" s="45"/>
      <c r="C190" s="45"/>
      <c r="D190" s="45"/>
      <c r="E190" s="45"/>
      <c r="F190" s="45"/>
      <c r="G190" s="45"/>
      <c r="H190" s="45"/>
      <c r="I190" s="46"/>
      <c r="J190" s="46"/>
      <c r="K190" s="38" t="str">
        <f t="shared" si="22"/>
        <v/>
      </c>
      <c r="L190" s="46"/>
      <c r="M190" s="46"/>
      <c r="N190" s="45"/>
      <c r="O190" s="47"/>
      <c r="P190" s="74" t="b">
        <v>0</v>
      </c>
      <c r="Q190" s="46"/>
      <c r="R190" s="46"/>
      <c r="S190" s="38" t="str">
        <f t="shared" si="23"/>
        <v/>
      </c>
      <c r="T190" s="38" t="str">
        <f t="shared" ca="1" si="24"/>
        <v/>
      </c>
      <c r="U190" s="94"/>
      <c r="V190" t="str">
        <f>IF(AND(OR($P190="☑",$P190=TRUE,$P190=1,$P190="Y",$P190="Yes",$P190="✔",$P190="☒",$P190="X"),$D190&lt;&gt;""),COUNTIF($P$2:$P190,"☑")+COUNTIF($P$2:$P190,TRUE)+COUNTIF($P$2:$P190,1)+COUNTIF($P$2:$P190,"Y")+COUNTIF($P$2:$P190,"Yes")+COUNTIF($P$2:$P190,"✔")+COUNTIF($P$2:$P190,"☒")+COUNTIF($P$2:$P190,"X"),"")</f>
        <v/>
      </c>
    </row>
    <row r="191" spans="1:22" ht="14.15" customHeight="1" x14ac:dyDescent="0.25">
      <c r="A191" s="93" t="str">
        <f t="shared" si="21"/>
        <v/>
      </c>
      <c r="B191" s="45"/>
      <c r="C191" s="45"/>
      <c r="D191" s="45"/>
      <c r="E191" s="45"/>
      <c r="F191" s="45"/>
      <c r="G191" s="45"/>
      <c r="H191" s="45"/>
      <c r="I191" s="46"/>
      <c r="J191" s="46"/>
      <c r="K191" s="38" t="str">
        <f t="shared" si="22"/>
        <v/>
      </c>
      <c r="L191" s="46"/>
      <c r="M191" s="46"/>
      <c r="N191" s="45"/>
      <c r="O191" s="47"/>
      <c r="P191" s="74" t="b">
        <v>0</v>
      </c>
      <c r="Q191" s="46"/>
      <c r="R191" s="46"/>
      <c r="S191" s="38" t="str">
        <f t="shared" si="23"/>
        <v/>
      </c>
      <c r="T191" s="38" t="str">
        <f t="shared" ca="1" si="24"/>
        <v/>
      </c>
      <c r="U191" s="94"/>
      <c r="V191" t="str">
        <f>IF(AND(OR($P191="☑",$P191=TRUE,$P191=1,$P191="Y",$P191="Yes",$P191="✔",$P191="☒",$P191="X"),$D191&lt;&gt;""),COUNTIF($P$2:$P191,"☑")+COUNTIF($P$2:$P191,TRUE)+COUNTIF($P$2:$P191,1)+COUNTIF($P$2:$P191,"Y")+COUNTIF($P$2:$P191,"Yes")+COUNTIF($P$2:$P191,"✔")+COUNTIF($P$2:$P191,"☒")+COUNTIF($P$2:$P191,"X"),"")</f>
        <v/>
      </c>
    </row>
    <row r="192" spans="1:22" ht="14.15" customHeight="1" x14ac:dyDescent="0.25">
      <c r="A192" s="93" t="str">
        <f t="shared" si="21"/>
        <v/>
      </c>
      <c r="B192" s="45"/>
      <c r="C192" s="45"/>
      <c r="D192" s="45"/>
      <c r="E192" s="45"/>
      <c r="F192" s="45"/>
      <c r="G192" s="45"/>
      <c r="H192" s="45"/>
      <c r="I192" s="46"/>
      <c r="J192" s="46"/>
      <c r="K192" s="38" t="str">
        <f t="shared" si="22"/>
        <v/>
      </c>
      <c r="L192" s="46"/>
      <c r="M192" s="46"/>
      <c r="N192" s="45"/>
      <c r="O192" s="47"/>
      <c r="P192" s="74" t="b">
        <v>0</v>
      </c>
      <c r="Q192" s="46"/>
      <c r="R192" s="46"/>
      <c r="S192" s="38" t="str">
        <f t="shared" si="23"/>
        <v/>
      </c>
      <c r="T192" s="38" t="str">
        <f t="shared" ca="1" si="24"/>
        <v/>
      </c>
      <c r="U192" s="94"/>
      <c r="V192" t="str">
        <f>IF(AND(OR($P192="☑",$P192=TRUE,$P192=1,$P192="Y",$P192="Yes",$P192="✔",$P192="☒",$P192="X"),$D192&lt;&gt;""),COUNTIF($P$2:$P192,"☑")+COUNTIF($P$2:$P192,TRUE)+COUNTIF($P$2:$P192,1)+COUNTIF($P$2:$P192,"Y")+COUNTIF($P$2:$P192,"Yes")+COUNTIF($P$2:$P192,"✔")+COUNTIF($P$2:$P192,"☒")+COUNTIF($P$2:$P192,"X"),"")</f>
        <v/>
      </c>
    </row>
    <row r="193" spans="1:22" ht="14.15" customHeight="1" x14ac:dyDescent="0.25">
      <c r="A193" s="93" t="str">
        <f t="shared" si="21"/>
        <v/>
      </c>
      <c r="B193" s="45"/>
      <c r="C193" s="45"/>
      <c r="D193" s="45"/>
      <c r="E193" s="45"/>
      <c r="F193" s="45"/>
      <c r="G193" s="45"/>
      <c r="H193" s="45"/>
      <c r="I193" s="46"/>
      <c r="J193" s="46"/>
      <c r="K193" s="38" t="str">
        <f t="shared" si="22"/>
        <v/>
      </c>
      <c r="L193" s="46"/>
      <c r="M193" s="46"/>
      <c r="N193" s="45"/>
      <c r="O193" s="47"/>
      <c r="P193" s="74" t="b">
        <v>0</v>
      </c>
      <c r="Q193" s="46"/>
      <c r="R193" s="46"/>
      <c r="S193" s="38" t="str">
        <f t="shared" si="23"/>
        <v/>
      </c>
      <c r="T193" s="38" t="str">
        <f t="shared" ca="1" si="24"/>
        <v/>
      </c>
      <c r="U193" s="94"/>
      <c r="V193" t="str">
        <f>IF(AND(OR($P193="☑",$P193=TRUE,$P193=1,$P193="Y",$P193="Yes",$P193="✔",$P193="☒",$P193="X"),$D193&lt;&gt;""),COUNTIF($P$2:$P193,"☑")+COUNTIF($P$2:$P193,TRUE)+COUNTIF($P$2:$P193,1)+COUNTIF($P$2:$P193,"Y")+COUNTIF($P$2:$P193,"Yes")+COUNTIF($P$2:$P193,"✔")+COUNTIF($P$2:$P193,"☒")+COUNTIF($P$2:$P193,"X"),"")</f>
        <v/>
      </c>
    </row>
    <row r="194" spans="1:22" ht="14.15" customHeight="1" x14ac:dyDescent="0.25">
      <c r="A194" s="93" t="str">
        <f t="shared" ref="A194:A201" si="25">IF(D194="","","T-"&amp;TEXT(ROW()-1,"000"))</f>
        <v/>
      </c>
      <c r="B194" s="45"/>
      <c r="C194" s="45"/>
      <c r="D194" s="45"/>
      <c r="E194" s="45"/>
      <c r="F194" s="45"/>
      <c r="G194" s="45"/>
      <c r="H194" s="45"/>
      <c r="I194" s="46"/>
      <c r="J194" s="46"/>
      <c r="K194" s="38" t="str">
        <f t="shared" ref="K194:K201" si="26">IF(OR(I194="",J194=""),"",J194-I194+1)</f>
        <v/>
      </c>
      <c r="L194" s="46"/>
      <c r="M194" s="46"/>
      <c r="N194" s="45"/>
      <c r="O194" s="47"/>
      <c r="P194" s="74" t="b">
        <v>0</v>
      </c>
      <c r="Q194" s="46"/>
      <c r="R194" s="46"/>
      <c r="S194" s="38" t="str">
        <f t="shared" ref="S194:S201" si="27">IF(A194="","",IF(OR(R194="",J194=""),"",IF(M194&lt;&gt;"",M194-R194,J194-R194)))</f>
        <v/>
      </c>
      <c r="T194" s="38" t="str">
        <f t="shared" ref="T194:T201" ca="1" si="28">IF(A194="","",IF(N194="Completed","Green",IF(AND(J194&lt;&gt;"",TODAY()&gt;J194),"Red",IF(AND(J194&lt;&gt;"",TODAY()+3&gt;=J194),"Amber","Green"))))</f>
        <v/>
      </c>
      <c r="U194" s="94"/>
      <c r="V194" t="str">
        <f>IF(AND(OR($P194="☑",$P194=TRUE,$P194=1,$P194="Y",$P194="Yes",$P194="✔",$P194="☒",$P194="X"),$D194&lt;&gt;""),COUNTIF($P$2:$P194,"☑")+COUNTIF($P$2:$P194,TRUE)+COUNTIF($P$2:$P194,1)+COUNTIF($P$2:$P194,"Y")+COUNTIF($P$2:$P194,"Yes")+COUNTIF($P$2:$P194,"✔")+COUNTIF($P$2:$P194,"☒")+COUNTIF($P$2:$P194,"X"),"")</f>
        <v/>
      </c>
    </row>
    <row r="195" spans="1:22" ht="14.15" customHeight="1" x14ac:dyDescent="0.25">
      <c r="A195" s="93" t="str">
        <f t="shared" si="25"/>
        <v/>
      </c>
      <c r="B195" s="45"/>
      <c r="C195" s="45"/>
      <c r="D195" s="45"/>
      <c r="E195" s="45"/>
      <c r="F195" s="45"/>
      <c r="G195" s="45"/>
      <c r="H195" s="45"/>
      <c r="I195" s="46"/>
      <c r="J195" s="46"/>
      <c r="K195" s="38" t="str">
        <f t="shared" si="26"/>
        <v/>
      </c>
      <c r="L195" s="46"/>
      <c r="M195" s="46"/>
      <c r="N195" s="45"/>
      <c r="O195" s="47"/>
      <c r="P195" s="74" t="b">
        <v>0</v>
      </c>
      <c r="Q195" s="46"/>
      <c r="R195" s="46"/>
      <c r="S195" s="38" t="str">
        <f t="shared" si="27"/>
        <v/>
      </c>
      <c r="T195" s="38" t="str">
        <f t="shared" ca="1" si="28"/>
        <v/>
      </c>
      <c r="U195" s="94"/>
      <c r="V195" t="str">
        <f>IF(AND(OR($P195="☑",$P195=TRUE,$P195=1,$P195="Y",$P195="Yes",$P195="✔",$P195="☒",$P195="X"),$D195&lt;&gt;""),COUNTIF($P$2:$P195,"☑")+COUNTIF($P$2:$P195,TRUE)+COUNTIF($P$2:$P195,1)+COUNTIF($P$2:$P195,"Y")+COUNTIF($P$2:$P195,"Yes")+COUNTIF($P$2:$P195,"✔")+COUNTIF($P$2:$P195,"☒")+COUNTIF($P$2:$P195,"X"),"")</f>
        <v/>
      </c>
    </row>
    <row r="196" spans="1:22" ht="14.15" customHeight="1" x14ac:dyDescent="0.25">
      <c r="A196" s="93" t="str">
        <f t="shared" si="25"/>
        <v/>
      </c>
      <c r="B196" s="45"/>
      <c r="C196" s="45"/>
      <c r="D196" s="45"/>
      <c r="E196" s="45"/>
      <c r="F196" s="45"/>
      <c r="G196" s="45"/>
      <c r="H196" s="45"/>
      <c r="I196" s="46"/>
      <c r="J196" s="46"/>
      <c r="K196" s="38" t="str">
        <f t="shared" si="26"/>
        <v/>
      </c>
      <c r="L196" s="46"/>
      <c r="M196" s="46"/>
      <c r="N196" s="45"/>
      <c r="O196" s="47"/>
      <c r="P196" s="74" t="b">
        <v>0</v>
      </c>
      <c r="Q196" s="46"/>
      <c r="R196" s="46"/>
      <c r="S196" s="38" t="str">
        <f t="shared" si="27"/>
        <v/>
      </c>
      <c r="T196" s="38" t="str">
        <f t="shared" ca="1" si="28"/>
        <v/>
      </c>
      <c r="U196" s="94"/>
      <c r="V196" t="str">
        <f>IF(AND(OR($P196="☑",$P196=TRUE,$P196=1,$P196="Y",$P196="Yes",$P196="✔",$P196="☒",$P196="X"),$D196&lt;&gt;""),COUNTIF($P$2:$P196,"☑")+COUNTIF($P$2:$P196,TRUE)+COUNTIF($P$2:$P196,1)+COUNTIF($P$2:$P196,"Y")+COUNTIF($P$2:$P196,"Yes")+COUNTIF($P$2:$P196,"✔")+COUNTIF($P$2:$P196,"☒")+COUNTIF($P$2:$P196,"X"),"")</f>
        <v/>
      </c>
    </row>
    <row r="197" spans="1:22" ht="14.15" customHeight="1" x14ac:dyDescent="0.25">
      <c r="A197" s="93" t="str">
        <f t="shared" si="25"/>
        <v/>
      </c>
      <c r="B197" s="45"/>
      <c r="C197" s="45"/>
      <c r="D197" s="45"/>
      <c r="E197" s="45"/>
      <c r="F197" s="45"/>
      <c r="G197" s="45"/>
      <c r="H197" s="45"/>
      <c r="I197" s="46"/>
      <c r="J197" s="46"/>
      <c r="K197" s="38" t="str">
        <f t="shared" si="26"/>
        <v/>
      </c>
      <c r="L197" s="46"/>
      <c r="M197" s="46"/>
      <c r="N197" s="45"/>
      <c r="O197" s="47"/>
      <c r="P197" s="74" t="b">
        <v>0</v>
      </c>
      <c r="Q197" s="46"/>
      <c r="R197" s="46"/>
      <c r="S197" s="38" t="str">
        <f t="shared" si="27"/>
        <v/>
      </c>
      <c r="T197" s="38" t="str">
        <f t="shared" ca="1" si="28"/>
        <v/>
      </c>
      <c r="U197" s="94"/>
      <c r="V197" t="str">
        <f>IF(AND(OR($P197="☑",$P197=TRUE,$P197=1,$P197="Y",$P197="Yes",$P197="✔",$P197="☒",$P197="X"),$D197&lt;&gt;""),COUNTIF($P$2:$P197,"☑")+COUNTIF($P$2:$P197,TRUE)+COUNTIF($P$2:$P197,1)+COUNTIF($P$2:$P197,"Y")+COUNTIF($P$2:$P197,"Yes")+COUNTIF($P$2:$P197,"✔")+COUNTIF($P$2:$P197,"☒")+COUNTIF($P$2:$P197,"X"),"")</f>
        <v/>
      </c>
    </row>
    <row r="198" spans="1:22" ht="14.15" customHeight="1" x14ac:dyDescent="0.25">
      <c r="A198" s="93" t="str">
        <f t="shared" si="25"/>
        <v/>
      </c>
      <c r="B198" s="45"/>
      <c r="C198" s="45"/>
      <c r="D198" s="45"/>
      <c r="E198" s="45"/>
      <c r="F198" s="45"/>
      <c r="G198" s="45"/>
      <c r="H198" s="45"/>
      <c r="I198" s="46"/>
      <c r="J198" s="46"/>
      <c r="K198" s="38" t="str">
        <f t="shared" si="26"/>
        <v/>
      </c>
      <c r="L198" s="46"/>
      <c r="M198" s="46"/>
      <c r="N198" s="45"/>
      <c r="O198" s="47"/>
      <c r="P198" s="74" t="b">
        <v>0</v>
      </c>
      <c r="Q198" s="46"/>
      <c r="R198" s="46"/>
      <c r="S198" s="38" t="str">
        <f t="shared" si="27"/>
        <v/>
      </c>
      <c r="T198" s="38" t="str">
        <f t="shared" ca="1" si="28"/>
        <v/>
      </c>
      <c r="U198" s="94"/>
      <c r="V198" t="str">
        <f>IF(AND(OR($P198="☑",$P198=TRUE,$P198=1,$P198="Y",$P198="Yes",$P198="✔",$P198="☒",$P198="X"),$D198&lt;&gt;""),COUNTIF($P$2:$P198,"☑")+COUNTIF($P$2:$P198,TRUE)+COUNTIF($P$2:$P198,1)+COUNTIF($P$2:$P198,"Y")+COUNTIF($P$2:$P198,"Yes")+COUNTIF($P$2:$P198,"✔")+COUNTIF($P$2:$P198,"☒")+COUNTIF($P$2:$P198,"X"),"")</f>
        <v/>
      </c>
    </row>
    <row r="199" spans="1:22" ht="14.15" customHeight="1" x14ac:dyDescent="0.25">
      <c r="A199" s="93" t="str">
        <f t="shared" si="25"/>
        <v/>
      </c>
      <c r="B199" s="45"/>
      <c r="C199" s="45"/>
      <c r="D199" s="45"/>
      <c r="E199" s="45"/>
      <c r="F199" s="45"/>
      <c r="G199" s="45"/>
      <c r="H199" s="45"/>
      <c r="I199" s="46"/>
      <c r="J199" s="46"/>
      <c r="K199" s="38" t="str">
        <f t="shared" si="26"/>
        <v/>
      </c>
      <c r="L199" s="46"/>
      <c r="M199" s="46"/>
      <c r="N199" s="45"/>
      <c r="O199" s="47"/>
      <c r="P199" s="74" t="b">
        <v>0</v>
      </c>
      <c r="Q199" s="46"/>
      <c r="R199" s="46"/>
      <c r="S199" s="38" t="str">
        <f t="shared" si="27"/>
        <v/>
      </c>
      <c r="T199" s="38" t="str">
        <f t="shared" ca="1" si="28"/>
        <v/>
      </c>
      <c r="U199" s="94"/>
      <c r="V199" t="str">
        <f>IF(AND(OR($P199="☑",$P199=TRUE,$P199=1,$P199="Y",$P199="Yes",$P199="✔",$P199="☒",$P199="X"),$D199&lt;&gt;""),COUNTIF($P$2:$P199,"☑")+COUNTIF($P$2:$P199,TRUE)+COUNTIF($P$2:$P199,1)+COUNTIF($P$2:$P199,"Y")+COUNTIF($P$2:$P199,"Yes")+COUNTIF($P$2:$P199,"✔")+COUNTIF($P$2:$P199,"☒")+COUNTIF($P$2:$P199,"X"),"")</f>
        <v/>
      </c>
    </row>
    <row r="200" spans="1:22" ht="14.15" customHeight="1" x14ac:dyDescent="0.25">
      <c r="A200" s="93" t="str">
        <f t="shared" si="25"/>
        <v/>
      </c>
      <c r="B200" s="45"/>
      <c r="C200" s="45"/>
      <c r="D200" s="45"/>
      <c r="E200" s="45"/>
      <c r="F200" s="45"/>
      <c r="G200" s="45"/>
      <c r="H200" s="45"/>
      <c r="I200" s="46"/>
      <c r="J200" s="46"/>
      <c r="K200" s="38" t="str">
        <f t="shared" si="26"/>
        <v/>
      </c>
      <c r="L200" s="46"/>
      <c r="M200" s="46"/>
      <c r="N200" s="45"/>
      <c r="O200" s="47"/>
      <c r="P200" s="74" t="b">
        <v>0</v>
      </c>
      <c r="Q200" s="46"/>
      <c r="R200" s="46"/>
      <c r="S200" s="38" t="str">
        <f t="shared" si="27"/>
        <v/>
      </c>
      <c r="T200" s="38" t="str">
        <f t="shared" ca="1" si="28"/>
        <v/>
      </c>
      <c r="U200" s="94"/>
      <c r="V200" t="str">
        <f>IF(AND(OR($P200="☑",$P200=TRUE,$P200=1,$P200="Y",$P200="Yes",$P200="✔",$P200="☒",$P200="X"),$D200&lt;&gt;""),COUNTIF($P$2:$P200,"☑")+COUNTIF($P$2:$P200,TRUE)+COUNTIF($P$2:$P200,1)+COUNTIF($P$2:$P200,"Y")+COUNTIF($P$2:$P200,"Yes")+COUNTIF($P$2:$P200,"✔")+COUNTIF($P$2:$P200,"☒")+COUNTIF($P$2:$P200,"X"),"")</f>
        <v/>
      </c>
    </row>
    <row r="201" spans="1:22" ht="14.15" customHeight="1" x14ac:dyDescent="0.25">
      <c r="A201" s="95" t="str">
        <f t="shared" si="25"/>
        <v/>
      </c>
      <c r="B201" s="96"/>
      <c r="C201" s="96"/>
      <c r="D201" s="96"/>
      <c r="E201" s="96"/>
      <c r="F201" s="96"/>
      <c r="G201" s="96"/>
      <c r="H201" s="96"/>
      <c r="I201" s="97"/>
      <c r="J201" s="97"/>
      <c r="K201" s="89" t="str">
        <f t="shared" si="26"/>
        <v/>
      </c>
      <c r="L201" s="97"/>
      <c r="M201" s="97"/>
      <c r="N201" s="96"/>
      <c r="O201" s="98"/>
      <c r="P201" s="100" t="b">
        <v>0</v>
      </c>
      <c r="Q201" s="97"/>
      <c r="R201" s="97"/>
      <c r="S201" s="89" t="str">
        <f t="shared" si="27"/>
        <v/>
      </c>
      <c r="T201" s="89" t="str">
        <f t="shared" ca="1" si="28"/>
        <v/>
      </c>
      <c r="U201" s="99"/>
      <c r="V201" t="str">
        <f>IF(AND(OR($P201="☑",$P201=TRUE,$P201=1,$P201="Y",$P201="Yes",$P201="✔",$P201="☒",$P201="X"),$D201&lt;&gt;""),COUNTIF($P$2:$P201,"☑")+COUNTIF($P$2:$P201,TRUE)+COUNTIF($P$2:$P201,1)+COUNTIF($P$2:$P201,"Y")+COUNTIF($P$2:$P201,"Yes")+COUNTIF($P$2:$P201,"✔")+COUNTIF($P$2:$P201,"☒")+COUNTIF($P$2:$P201,"X"),"")</f>
        <v/>
      </c>
    </row>
  </sheetData>
  <conditionalFormatting sqref="P2:P201">
    <cfRule type="expression" dxfId="30" priority="2">
      <formula>P2="☑"</formula>
    </cfRule>
    <cfRule type="expression" dxfId="29" priority="3">
      <formula>P2="☐"</formula>
    </cfRule>
  </conditionalFormatting>
  <conditionalFormatting sqref="T2:T201">
    <cfRule type="expression" dxfId="28" priority="4">
      <formula>T2="Red"</formula>
    </cfRule>
    <cfRule type="expression" dxfId="27" priority="5">
      <formula>T2="Amber"</formula>
    </cfRule>
    <cfRule type="expression" dxfId="26" priority="6">
      <formula>T2="Green"</formula>
    </cfRule>
  </conditionalFormatting>
  <dataValidations count="1">
    <dataValidation type="list" allowBlank="1" showInputMessage="1" showErrorMessage="1" sqref="N2:N201" xr:uid="{7EF0386C-7CEC-4B87-B599-EA505F0CE637}">
      <formula1>"Completed,In Progress,Not Started,On Hold"</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A1:O201"/>
  <sheetViews>
    <sheetView topLeftCell="B7" zoomScaleNormal="100" zoomScalePageLayoutView="60" workbookViewId="0">
      <selection activeCell="J19" sqref="J19"/>
    </sheetView>
  </sheetViews>
  <sheetFormatPr defaultColWidth="8.7265625" defaultRowHeight="15" customHeight="1" x14ac:dyDescent="0.25"/>
  <cols>
    <col min="1" max="1" width="16.26953125" customWidth="1"/>
    <col min="2" max="2" width="10" customWidth="1"/>
    <col min="3" max="3" width="14" customWidth="1"/>
    <col min="4" max="4" width="28" customWidth="1"/>
    <col min="5" max="5" width="18" customWidth="1"/>
    <col min="6" max="6" width="20.81640625" customWidth="1"/>
    <col min="7" max="7" width="20.1796875" customWidth="1"/>
    <col min="8" max="8" width="18.26953125" customWidth="1"/>
    <col min="9" max="9" width="14" customWidth="1"/>
    <col min="10" max="10" width="14.7265625" customWidth="1"/>
    <col min="11" max="11" width="20.7265625" customWidth="1"/>
    <col min="12" max="12" width="18.26953125" customWidth="1"/>
    <col min="13" max="13" width="14" customWidth="1"/>
    <col min="14" max="14" width="30" customWidth="1"/>
    <col min="15" max="15" width="10" hidden="1" customWidth="1"/>
  </cols>
  <sheetData>
    <row r="1" spans="1:15" ht="13.9" customHeight="1" x14ac:dyDescent="0.3">
      <c r="A1" s="77" t="s">
        <v>127</v>
      </c>
      <c r="B1" s="78" t="s">
        <v>70</v>
      </c>
      <c r="C1" s="78" t="s">
        <v>71</v>
      </c>
      <c r="D1" s="78" t="s">
        <v>128</v>
      </c>
      <c r="E1" s="78" t="s">
        <v>75</v>
      </c>
      <c r="F1" s="78" t="s">
        <v>77</v>
      </c>
      <c r="G1" s="78" t="s">
        <v>78</v>
      </c>
      <c r="H1" s="78" t="s">
        <v>80</v>
      </c>
      <c r="I1" s="78" t="s">
        <v>81</v>
      </c>
      <c r="J1" s="78" t="s">
        <v>82</v>
      </c>
      <c r="K1" s="78" t="s">
        <v>85</v>
      </c>
      <c r="L1" s="78" t="s">
        <v>86</v>
      </c>
      <c r="M1" s="78" t="s">
        <v>87</v>
      </c>
      <c r="N1" s="79" t="s">
        <v>129</v>
      </c>
      <c r="O1" s="37" t="s">
        <v>89</v>
      </c>
    </row>
    <row r="2" spans="1:15" ht="26.9" customHeight="1" x14ac:dyDescent="0.25">
      <c r="A2" s="93" t="str">
        <f>IF($O2="","",INDEX('Project Plan'!$A$2:$A$201,MATCH($O2,'Project Plan'!$V$2:$V$201,0)))</f>
        <v>T-001</v>
      </c>
      <c r="B2" s="45">
        <f>IF($O2="","",INDEX('Project Plan'!$B$2:$B$201,MATCH($O2,'Project Plan'!$V$2:$V$201,0)))</f>
        <v>1</v>
      </c>
      <c r="C2" s="45" t="str">
        <f>IF($O2="","",INDEX('Project Plan'!$C$2:$C$201,MATCH($O2,'Project Plan'!$V$2:$V$201,0)))</f>
        <v>Initiation</v>
      </c>
      <c r="D2" s="45" t="str">
        <f>IF($O2="","",INDEX('Project Plan'!$D$2:$D$201,MATCH($O2,'Project Plan'!$V$2:$V$201,0)))</f>
        <v>Project Kickoff &amp; Mobilization</v>
      </c>
      <c r="E2" s="45" t="str">
        <f>IF($O2="","",INDEX('Project Plan'!$G$2:$G$201,MATCH($O2,'Project Plan'!$V$2:$V$201,0)))</f>
        <v>Suseela Nookala</v>
      </c>
      <c r="F2" s="46">
        <f>IF($O2="","",INDEX('Project Plan'!$I$2:$I$201,MATCH($O2,'Project Plan'!$V$2:$V$201,0)))</f>
        <v>45663</v>
      </c>
      <c r="G2" s="46">
        <f>IF($O2="","",INDEX('Project Plan'!$J$2:$J$201,MATCH($O2,'Project Plan'!$V$2:$V$201,0)))</f>
        <v>45663</v>
      </c>
      <c r="H2" s="46">
        <f>IF($O2="","",INDEX('Project Plan'!$M$2:$M$201,MATCH($O2,'Project Plan'!$V$2:$V$201,0)))</f>
        <v>45663</v>
      </c>
      <c r="I2" s="45" t="str">
        <f>IF($O2="","",INDEX('Project Plan'!$N$2:$N$201,MATCH($O2,'Project Plan'!$V$2:$V$201,0)))</f>
        <v>Completed</v>
      </c>
      <c r="J2" s="47">
        <f>IF($O2="","",INDEX('Project Plan'!$O$2:$O$201,MATCH($O2,'Project Plan'!$V$2:$V$201,0)))</f>
        <v>1</v>
      </c>
      <c r="K2" s="46">
        <f>IF($O2="","",INDEX('Project Plan'!$R$2:$R$201,MATCH($O2,'Project Plan'!$V$2:$V$201,0)))</f>
        <v>45663</v>
      </c>
      <c r="L2" s="38">
        <f>IF($O2="","",INDEX('Project Plan'!$S$2:$S$201,MATCH($O2,'Project Plan'!$V$2:$V$201,0)))</f>
        <v>0</v>
      </c>
      <c r="M2" s="38" t="str">
        <f ca="1">IF($O2="","",INDEX('Project Plan'!$T$2:$T$201,MATCH($O2,'Project Plan'!$V$2:$V$201,0)))</f>
        <v>Green</v>
      </c>
      <c r="N2" s="94">
        <f>IF($O2="","",INDEX('Project Plan'!$U$2:$U$201,MATCH($O2,'Project Plan'!$V$2:$V$201,0)))</f>
        <v>0</v>
      </c>
      <c r="O2" s="45">
        <f>IF(ROW()-1&lt;=MAX('Project Plan'!$V$2:$V$201),ROW()-1,"")</f>
        <v>1</v>
      </c>
    </row>
    <row r="3" spans="1:15" ht="26.9" customHeight="1" x14ac:dyDescent="0.25">
      <c r="A3" s="93" t="str">
        <f>IF($O3="","",INDEX('Project Plan'!$A$2:$A$201,MATCH($O3,'Project Plan'!$V$2:$V$201,0)))</f>
        <v>T-002</v>
      </c>
      <c r="B3" s="45">
        <f>IF($O3="","",INDEX('Project Plan'!$B$2:$B$201,MATCH($O3,'Project Plan'!$V$2:$V$201,0)))</f>
        <v>1.1000000000000001</v>
      </c>
      <c r="C3" s="45" t="str">
        <f>IF($O3="","",INDEX('Project Plan'!$C$2:$C$201,MATCH($O3,'Project Plan'!$V$2:$V$201,0)))</f>
        <v>Initiation</v>
      </c>
      <c r="D3" s="45" t="str">
        <f>IF($O3="","",INDEX('Project Plan'!$D$2:$D$201,MATCH($O3,'Project Plan'!$V$2:$V$201,0)))</f>
        <v>SOW Commencement</v>
      </c>
      <c r="E3" s="45" t="str">
        <f>IF($O3="","",INDEX('Project Plan'!$G$2:$G$201,MATCH($O3,'Project Plan'!$V$2:$V$201,0)))</f>
        <v>Deepak Puranam/Sai Konda</v>
      </c>
      <c r="F3" s="46">
        <f>IF($O3="","",INDEX('Project Plan'!$I$2:$I$201,MATCH($O3,'Project Plan'!$V$2:$V$201,0)))</f>
        <v>45663</v>
      </c>
      <c r="G3" s="46">
        <f>IF($O3="","",INDEX('Project Plan'!$J$2:$J$201,MATCH($O3,'Project Plan'!$V$2:$V$201,0)))</f>
        <v>45814</v>
      </c>
      <c r="H3" s="46">
        <f>IF($O3="","",INDEX('Project Plan'!$M$2:$M$201,MATCH($O3,'Project Plan'!$V$2:$V$201,0)))</f>
        <v>45814</v>
      </c>
      <c r="I3" s="45" t="str">
        <f>IF($O3="","",INDEX('Project Plan'!$N$2:$N$201,MATCH($O3,'Project Plan'!$V$2:$V$201,0)))</f>
        <v>Completed</v>
      </c>
      <c r="J3" s="47">
        <f>IF($O3="","",INDEX('Project Plan'!$O$2:$O$201,MATCH($O3,'Project Plan'!$V$2:$V$201,0)))</f>
        <v>1</v>
      </c>
      <c r="K3" s="46">
        <f>IF($O3="","",INDEX('Project Plan'!$R$2:$R$201,MATCH($O3,'Project Plan'!$V$2:$V$201,0)))</f>
        <v>45814</v>
      </c>
      <c r="L3" s="38">
        <f>IF($O3="","",INDEX('Project Plan'!$S$2:$S$201,MATCH($O3,'Project Plan'!$V$2:$V$201,0)))</f>
        <v>0</v>
      </c>
      <c r="M3" s="38" t="str">
        <f ca="1">IF($O3="","",INDEX('Project Plan'!$T$2:$T$201,MATCH($O3,'Project Plan'!$V$2:$V$201,0)))</f>
        <v>Green</v>
      </c>
      <c r="N3" s="94">
        <f>IF($O3="","",INDEX('Project Plan'!$U$2:$U$201,MATCH($O3,'Project Plan'!$V$2:$V$201,0)))</f>
        <v>0</v>
      </c>
      <c r="O3" s="45">
        <f>IF(ROW()-1&lt;=MAX('Project Plan'!$V$2:$V$201),ROW()-1,"")</f>
        <v>2</v>
      </c>
    </row>
    <row r="4" spans="1:15" ht="26.9" customHeight="1" x14ac:dyDescent="0.25">
      <c r="A4" s="93" t="str">
        <f>IF($O4="","",INDEX('Project Plan'!$A$2:$A$201,MATCH($O4,'Project Plan'!$V$2:$V$201,0)))</f>
        <v>T-003</v>
      </c>
      <c r="B4" s="45">
        <f>IF($O4="","",INDEX('Project Plan'!$B$2:$B$201,MATCH($O4,'Project Plan'!$V$2:$V$201,0)))</f>
        <v>1.2</v>
      </c>
      <c r="C4" s="45" t="str">
        <f>IF($O4="","",INDEX('Project Plan'!$C$2:$C$201,MATCH($O4,'Project Plan'!$V$2:$V$201,0)))</f>
        <v>Planning</v>
      </c>
      <c r="D4" s="45" t="str">
        <f>IF($O4="","",INDEX('Project Plan'!$D$2:$D$201,MATCH($O4,'Project Plan'!$V$2:$V$201,0)))</f>
        <v>Planning</v>
      </c>
      <c r="E4" s="45" t="str">
        <f>IF($O4="","",INDEX('Project Plan'!$G$2:$G$201,MATCH($O4,'Project Plan'!$V$2:$V$201,0)))</f>
        <v>Suseela Nookala</v>
      </c>
      <c r="F4" s="46">
        <f>IF($O4="","",INDEX('Project Plan'!$I$2:$I$201,MATCH($O4,'Project Plan'!$V$2:$V$201,0)))</f>
        <v>45997</v>
      </c>
      <c r="G4" s="46">
        <f>IF($O4="","",INDEX('Project Plan'!$J$2:$J$201,MATCH($O4,'Project Plan'!$V$2:$V$201,0)))</f>
        <v>45786</v>
      </c>
      <c r="H4" s="46">
        <f>IF($O4="","",INDEX('Project Plan'!$M$2:$M$201,MATCH($O4,'Project Plan'!$V$2:$V$201,0)))</f>
        <v>45786</v>
      </c>
      <c r="I4" s="45" t="str">
        <f>IF($O4="","",INDEX('Project Plan'!$N$2:$N$201,MATCH($O4,'Project Plan'!$V$2:$V$201,0)))</f>
        <v>Completed</v>
      </c>
      <c r="J4" s="47">
        <f>IF($O4="","",INDEX('Project Plan'!$O$2:$O$201,MATCH($O4,'Project Plan'!$V$2:$V$201,0)))</f>
        <v>1</v>
      </c>
      <c r="K4" s="46">
        <f>IF($O4="","",INDEX('Project Plan'!$R$2:$R$201,MATCH($O4,'Project Plan'!$V$2:$V$201,0)))</f>
        <v>45786</v>
      </c>
      <c r="L4" s="38">
        <f>IF($O4="","",INDEX('Project Plan'!$S$2:$S$201,MATCH($O4,'Project Plan'!$V$2:$V$201,0)))</f>
        <v>0</v>
      </c>
      <c r="M4" s="38" t="str">
        <f ca="1">IF($O4="","",INDEX('Project Plan'!$T$2:$T$201,MATCH($O4,'Project Plan'!$V$2:$V$201,0)))</f>
        <v>Green</v>
      </c>
      <c r="N4" s="94">
        <f>IF($O4="","",INDEX('Project Plan'!$U$2:$U$201,MATCH($O4,'Project Plan'!$V$2:$V$201,0)))</f>
        <v>0</v>
      </c>
      <c r="O4" s="45">
        <f>IF(ROW()-1&lt;=MAX('Project Plan'!$V$2:$V$201),ROW()-1,"")</f>
        <v>3</v>
      </c>
    </row>
    <row r="5" spans="1:15" ht="13.9" customHeight="1" x14ac:dyDescent="0.25">
      <c r="A5" s="93" t="str">
        <f>IF($O5="","",INDEX('Project Plan'!$A$2:$A$201,MATCH($O5,'Project Plan'!$V$2:$V$201,0)))</f>
        <v>T-004</v>
      </c>
      <c r="B5" s="45">
        <f>IF($O5="","",INDEX('Project Plan'!$B$2:$B$201,MATCH($O5,'Project Plan'!$V$2:$V$201,0)))</f>
        <v>1.3</v>
      </c>
      <c r="C5" s="45" t="str">
        <f>IF($O5="","",INDEX('Project Plan'!$C$2:$C$201,MATCH($O5,'Project Plan'!$V$2:$V$201,0)))</f>
        <v>Monitoring &amp; Control</v>
      </c>
      <c r="D5" s="45" t="str">
        <f>IF($O5="","",INDEX('Project Plan'!$D$2:$D$201,MATCH($O5,'Project Plan'!$V$2:$V$201,0)))</f>
        <v>Weekly Governance &amp; Stakeholder Reporting</v>
      </c>
      <c r="E5" s="45" t="str">
        <f>IF($O5="","",INDEX('Project Plan'!$G$2:$G$201,MATCH($O5,'Project Plan'!$V$2:$V$201,0)))</f>
        <v>Suseela Nookala</v>
      </c>
      <c r="F5" s="46">
        <f>IF($O5="","",INDEX('Project Plan'!$I$2:$I$201,MATCH($O5,'Project Plan'!$V$2:$V$201,0)))</f>
        <v>45992</v>
      </c>
      <c r="G5" s="46">
        <f>IF($O5="","",INDEX('Project Plan'!$J$2:$J$201,MATCH($O5,'Project Plan'!$V$2:$V$201,0)))</f>
        <v>46183</v>
      </c>
      <c r="H5" s="46">
        <f>IF($O5="","",INDEX('Project Plan'!$M$2:$M$201,MATCH($O5,'Project Plan'!$V$2:$V$201,0)))</f>
        <v>45838</v>
      </c>
      <c r="I5" s="45" t="str">
        <f>IF($O5="","",INDEX('Project Plan'!$N$2:$N$201,MATCH($O5,'Project Plan'!$V$2:$V$201,0)))</f>
        <v>Completed</v>
      </c>
      <c r="J5" s="47">
        <f>IF($O5="","",INDEX('Project Plan'!$O$2:$O$201,MATCH($O5,'Project Plan'!$V$2:$V$201,0)))</f>
        <v>1</v>
      </c>
      <c r="K5" s="46">
        <f>IF($O5="","",INDEX('Project Plan'!$R$2:$R$201,MATCH($O5,'Project Plan'!$V$2:$V$201,0)))</f>
        <v>45838</v>
      </c>
      <c r="L5" s="38">
        <f>IF($O5="","",INDEX('Project Plan'!$S$2:$S$201,MATCH($O5,'Project Plan'!$V$2:$V$201,0)))</f>
        <v>0</v>
      </c>
      <c r="M5" s="38" t="str">
        <f ca="1">IF($O5="","",INDEX('Project Plan'!$T$2:$T$201,MATCH($O5,'Project Plan'!$V$2:$V$201,0)))</f>
        <v>Green</v>
      </c>
      <c r="N5" s="94">
        <f>IF($O5="","",INDEX('Project Plan'!$U$2:$U$201,MATCH($O5,'Project Plan'!$V$2:$V$201,0)))</f>
        <v>0</v>
      </c>
      <c r="O5" s="45">
        <f>IF(ROW()-1&lt;=MAX('Project Plan'!$V$2:$V$201),ROW()-1,"")</f>
        <v>4</v>
      </c>
    </row>
    <row r="6" spans="1:15" ht="13.9" customHeight="1" x14ac:dyDescent="0.25">
      <c r="A6" s="93" t="str">
        <f>IF($O6="","",INDEX('Project Plan'!$A$2:$A$201,MATCH($O6,'Project Plan'!$V$2:$V$201,0)))</f>
        <v>T-005</v>
      </c>
      <c r="B6" s="45">
        <f>IF($O6="","",INDEX('Project Plan'!$B$2:$B$201,MATCH($O6,'Project Plan'!$V$2:$V$201,0)))</f>
        <v>1.4</v>
      </c>
      <c r="C6" s="45" t="str">
        <f>IF($O6="","",INDEX('Project Plan'!$C$2:$C$201,MATCH($O6,'Project Plan'!$V$2:$V$201,0)))</f>
        <v>Planning</v>
      </c>
      <c r="D6" s="45" t="str">
        <f>IF($O6="","",INDEX('Project Plan'!$D$2:$D$201,MATCH($O6,'Project Plan'!$V$2:$V$201,0)))</f>
        <v>Change Request Scope Realignment &amp; Re-baselining</v>
      </c>
      <c r="E6" s="45" t="str">
        <f>IF($O6="","",INDEX('Project Plan'!$G$2:$G$201,MATCH($O6,'Project Plan'!$V$2:$V$201,0)))</f>
        <v>Suseela Nookala</v>
      </c>
      <c r="F6" s="46">
        <f>IF($O6="","",INDEX('Project Plan'!$I$2:$I$201,MATCH($O6,'Project Plan'!$V$2:$V$201,0)))</f>
        <v>45722</v>
      </c>
      <c r="G6" s="46">
        <f>IF($O6="","",INDEX('Project Plan'!$J$2:$J$201,MATCH($O6,'Project Plan'!$V$2:$V$201,0)))</f>
        <v>46129</v>
      </c>
      <c r="H6" s="46">
        <f>IF($O6="","",INDEX('Project Plan'!$M$2:$M$201,MATCH($O6,'Project Plan'!$V$2:$V$201,0)))</f>
        <v>45838</v>
      </c>
      <c r="I6" s="45" t="str">
        <f>IF($O6="","",INDEX('Project Plan'!$N$2:$N$201,MATCH($O6,'Project Plan'!$V$2:$V$201,0)))</f>
        <v>Completed</v>
      </c>
      <c r="J6" s="47">
        <f>IF($O6="","",INDEX('Project Plan'!$O$2:$O$201,MATCH($O6,'Project Plan'!$V$2:$V$201,0)))</f>
        <v>1</v>
      </c>
      <c r="K6" s="46">
        <f>IF($O6="","",INDEX('Project Plan'!$R$2:$R$201,MATCH($O6,'Project Plan'!$V$2:$V$201,0)))</f>
        <v>45838</v>
      </c>
      <c r="L6" s="38">
        <f>IF($O6="","",INDEX('Project Plan'!$S$2:$S$201,MATCH($O6,'Project Plan'!$V$2:$V$201,0)))</f>
        <v>0</v>
      </c>
      <c r="M6" s="38" t="str">
        <f ca="1">IF($O6="","",INDEX('Project Plan'!$T$2:$T$201,MATCH($O6,'Project Plan'!$V$2:$V$201,0)))</f>
        <v>Green</v>
      </c>
      <c r="N6" s="94">
        <f>IF($O6="","",INDEX('Project Plan'!$U$2:$U$201,MATCH($O6,'Project Plan'!$V$2:$V$201,0)))</f>
        <v>0</v>
      </c>
      <c r="O6" s="45">
        <f>IF(ROW()-1&lt;=MAX('Project Plan'!$V$2:$V$201),ROW()-1,"")</f>
        <v>5</v>
      </c>
    </row>
    <row r="7" spans="1:15" ht="13.9" customHeight="1" x14ac:dyDescent="0.25">
      <c r="A7" s="93" t="str">
        <f>IF($O7="","",INDEX('Project Plan'!$A$2:$A$201,MATCH($O7,'Project Plan'!$V$2:$V$201,0)))</f>
        <v>T-006</v>
      </c>
      <c r="B7" s="45">
        <f>IF($O7="","",INDEX('Project Plan'!$B$2:$B$201,MATCH($O7,'Project Plan'!$V$2:$V$201,0)))</f>
        <v>1.5</v>
      </c>
      <c r="C7" s="45" t="str">
        <f>IF($O7="","",INDEX('Project Plan'!$C$2:$C$201,MATCH($O7,'Project Plan'!$V$2:$V$201,0)))</f>
        <v>Planning</v>
      </c>
      <c r="D7" s="45" t="str">
        <f>IF($O7="","",INDEX('Project Plan'!$D$2:$D$201,MATCH($O7,'Project Plan'!$V$2:$V$201,0)))</f>
        <v>Change Request Approval / Signature</v>
      </c>
      <c r="E7" s="45" t="str">
        <f>IF($O7="","",INDEX('Project Plan'!$G$2:$G$201,MATCH($O7,'Project Plan'!$V$2:$V$201,0)))</f>
        <v>Ibrahim/Sai</v>
      </c>
      <c r="F7" s="46">
        <f>IF($O7="","",INDEX('Project Plan'!$I$2:$I$201,MATCH($O7,'Project Plan'!$V$2:$V$201,0)))</f>
        <v>45753</v>
      </c>
      <c r="G7" s="46">
        <f>IF($O7="","",INDEX('Project Plan'!$J$2:$J$201,MATCH($O7,'Project Plan'!$V$2:$V$201,0)))</f>
        <v>45838</v>
      </c>
      <c r="H7" s="46">
        <f>IF($O7="","",INDEX('Project Plan'!$M$2:$M$201,MATCH($O7,'Project Plan'!$V$2:$V$201,0)))</f>
        <v>45838</v>
      </c>
      <c r="I7" s="45" t="str">
        <f>IF($O7="","",INDEX('Project Plan'!$N$2:$N$201,MATCH($O7,'Project Plan'!$V$2:$V$201,0)))</f>
        <v>Completed</v>
      </c>
      <c r="J7" s="47">
        <f>IF($O7="","",INDEX('Project Plan'!$O$2:$O$201,MATCH($O7,'Project Plan'!$V$2:$V$201,0)))</f>
        <v>1</v>
      </c>
      <c r="K7" s="46">
        <f>IF($O7="","",INDEX('Project Plan'!$R$2:$R$201,MATCH($O7,'Project Plan'!$V$2:$V$201,0)))</f>
        <v>45838</v>
      </c>
      <c r="L7" s="38">
        <f>IF($O7="","",INDEX('Project Plan'!$S$2:$S$201,MATCH($O7,'Project Plan'!$V$2:$V$201,0)))</f>
        <v>0</v>
      </c>
      <c r="M7" s="38" t="str">
        <f ca="1">IF($O7="","",INDEX('Project Plan'!$T$2:$T$201,MATCH($O7,'Project Plan'!$V$2:$V$201,0)))</f>
        <v>Green</v>
      </c>
      <c r="N7" s="94">
        <f>IF($O7="","",INDEX('Project Plan'!$U$2:$U$201,MATCH($O7,'Project Plan'!$V$2:$V$201,0)))</f>
        <v>0</v>
      </c>
      <c r="O7" s="45">
        <f>IF(ROW()-1&lt;=MAX('Project Plan'!$V$2:$V$201),ROW()-1,"")</f>
        <v>6</v>
      </c>
    </row>
    <row r="8" spans="1:15" ht="13.9" customHeight="1" x14ac:dyDescent="0.25">
      <c r="A8" s="93" t="str">
        <f>IF($O8="","",INDEX('Project Plan'!$A$2:$A$201,MATCH($O8,'Project Plan'!$V$2:$V$201,0)))</f>
        <v>T-007</v>
      </c>
      <c r="B8" s="45">
        <f>IF($O8="","",INDEX('Project Plan'!$B$2:$B$201,MATCH($O8,'Project Plan'!$V$2:$V$201,0)))</f>
        <v>2</v>
      </c>
      <c r="C8" s="45" t="str">
        <f>IF($O8="","",INDEX('Project Plan'!$C$2:$C$201,MATCH($O8,'Project Plan'!$V$2:$V$201,0)))</f>
        <v>Execution</v>
      </c>
      <c r="D8" s="45" t="str">
        <f>IF($O8="","",INDEX('Project Plan'!$D$2:$D$201,MATCH($O8,'Project Plan'!$V$2:$V$201,0)))</f>
        <v>User Authentication</v>
      </c>
      <c r="E8" s="45" t="str">
        <f>IF($O8="","",INDEX('Project Plan'!$G$2:$G$201,MATCH($O8,'Project Plan'!$V$2:$V$201,0)))</f>
        <v>Himansu Sekhar Bandha</v>
      </c>
      <c r="F8" s="46">
        <f>IF($O8="","",INDEX('Project Plan'!$I$2:$I$201,MATCH($O8,'Project Plan'!$V$2:$V$201,0)))</f>
        <v>45819</v>
      </c>
      <c r="G8" s="46">
        <f>IF($O8="","",INDEX('Project Plan'!$J$2:$J$201,MATCH($O8,'Project Plan'!$V$2:$V$201,0)))</f>
        <v>45838</v>
      </c>
      <c r="H8" s="46">
        <f>IF($O8="","",INDEX('Project Plan'!$M$2:$M$201,MATCH($O8,'Project Plan'!$V$2:$V$201,0)))</f>
        <v>45838</v>
      </c>
      <c r="I8" s="45" t="str">
        <f>IF($O8="","",INDEX('Project Plan'!$N$2:$N$201,MATCH($O8,'Project Plan'!$V$2:$V$201,0)))</f>
        <v>Completed</v>
      </c>
      <c r="J8" s="47">
        <f>IF($O8="","",INDEX('Project Plan'!$O$2:$O$201,MATCH($O8,'Project Plan'!$V$2:$V$201,0)))</f>
        <v>1</v>
      </c>
      <c r="K8" s="46">
        <f>IF($O8="","",INDEX('Project Plan'!$R$2:$R$201,MATCH($O8,'Project Plan'!$V$2:$V$201,0)))</f>
        <v>45838</v>
      </c>
      <c r="L8" s="38">
        <f>IF($O8="","",INDEX('Project Plan'!$S$2:$S$201,MATCH($O8,'Project Plan'!$V$2:$V$201,0)))</f>
        <v>0</v>
      </c>
      <c r="M8" s="38" t="str">
        <f ca="1">IF($O8="","",INDEX('Project Plan'!$T$2:$T$201,MATCH($O8,'Project Plan'!$V$2:$V$201,0)))</f>
        <v>Green</v>
      </c>
      <c r="N8" s="94">
        <f>IF($O8="","",INDEX('Project Plan'!$U$2:$U$201,MATCH($O8,'Project Plan'!$V$2:$V$201,0)))</f>
        <v>0</v>
      </c>
      <c r="O8" s="45">
        <f>IF(ROW()-1&lt;=MAX('Project Plan'!$V$2:$V$201),ROW()-1,"")</f>
        <v>7</v>
      </c>
    </row>
    <row r="9" spans="1:15" ht="13.9" customHeight="1" x14ac:dyDescent="0.25">
      <c r="A9" s="93" t="str">
        <f>IF($O9="","",INDEX('Project Plan'!$A$2:$A$201,MATCH($O9,'Project Plan'!$V$2:$V$201,0)))</f>
        <v>T-008</v>
      </c>
      <c r="B9" s="45">
        <f>IF($O9="","",INDEX('Project Plan'!$B$2:$B$201,MATCH($O9,'Project Plan'!$V$2:$V$201,0)))</f>
        <v>2.1</v>
      </c>
      <c r="C9" s="45" t="str">
        <f>IF($O9="","",INDEX('Project Plan'!$C$2:$C$201,MATCH($O9,'Project Plan'!$V$2:$V$201,0)))</f>
        <v>Execution</v>
      </c>
      <c r="D9" s="45" t="str">
        <f>IF($O9="","",INDEX('Project Plan'!$D$2:$D$201,MATCH($O9,'Project Plan'!$V$2:$V$201,0)))</f>
        <v>Dashboard (Landing Screen)</v>
      </c>
      <c r="E9" s="45" t="str">
        <f>IF($O9="","",INDEX('Project Plan'!$G$2:$G$201,MATCH($O9,'Project Plan'!$V$2:$V$201,0)))</f>
        <v>Himansu Sekhar Bandha</v>
      </c>
      <c r="F9" s="46">
        <f>IF($O9="","",INDEX('Project Plan'!$I$2:$I$201,MATCH($O9,'Project Plan'!$V$2:$V$201,0)))</f>
        <v>45819</v>
      </c>
      <c r="G9" s="46">
        <f>IF($O9="","",INDEX('Project Plan'!$J$2:$J$201,MATCH($O9,'Project Plan'!$V$2:$V$201,0)))</f>
        <v>45838</v>
      </c>
      <c r="H9" s="46">
        <f>IF($O9="","",INDEX('Project Plan'!$M$2:$M$201,MATCH($O9,'Project Plan'!$V$2:$V$201,0)))</f>
        <v>45838</v>
      </c>
      <c r="I9" s="45" t="str">
        <f>IF($O9="","",INDEX('Project Plan'!$N$2:$N$201,MATCH($O9,'Project Plan'!$V$2:$V$201,0)))</f>
        <v>Completed</v>
      </c>
      <c r="J9" s="47">
        <f>IF($O9="","",INDEX('Project Plan'!$O$2:$O$201,MATCH($O9,'Project Plan'!$V$2:$V$201,0)))</f>
        <v>1</v>
      </c>
      <c r="K9" s="46">
        <f>IF($O9="","",INDEX('Project Plan'!$R$2:$R$201,MATCH($O9,'Project Plan'!$V$2:$V$201,0)))</f>
        <v>45838</v>
      </c>
      <c r="L9" s="38">
        <f>IF($O9="","",INDEX('Project Plan'!$S$2:$S$201,MATCH($O9,'Project Plan'!$V$2:$V$201,0)))</f>
        <v>0</v>
      </c>
      <c r="M9" s="38" t="str">
        <f ca="1">IF($O9="","",INDEX('Project Plan'!$T$2:$T$201,MATCH($O9,'Project Plan'!$V$2:$V$201,0)))</f>
        <v>Green</v>
      </c>
      <c r="N9" s="94">
        <f>IF($O9="","",INDEX('Project Plan'!$U$2:$U$201,MATCH($O9,'Project Plan'!$V$2:$V$201,0)))</f>
        <v>0</v>
      </c>
      <c r="O9" s="45">
        <f>IF(ROW()-1&lt;=MAX('Project Plan'!$V$2:$V$201),ROW()-1,"")</f>
        <v>8</v>
      </c>
    </row>
    <row r="10" spans="1:15" ht="13.9" customHeight="1" x14ac:dyDescent="0.25">
      <c r="A10" s="93" t="str">
        <f>IF($O10="","",INDEX('Project Plan'!$A$2:$A$201,MATCH($O10,'Project Plan'!$V$2:$V$201,0)))</f>
        <v>T-009</v>
      </c>
      <c r="B10" s="45">
        <f>IF($O10="","",INDEX('Project Plan'!$B$2:$B$201,MATCH($O10,'Project Plan'!$V$2:$V$201,0)))</f>
        <v>2.1</v>
      </c>
      <c r="C10" s="45" t="str">
        <f>IF($O10="","",INDEX('Project Plan'!$C$2:$C$201,MATCH($O10,'Project Plan'!$V$2:$V$201,0)))</f>
        <v>Execution</v>
      </c>
      <c r="D10" s="45" t="str">
        <f>IF($O10="","",INDEX('Project Plan'!$D$2:$D$201,MATCH($O10,'Project Plan'!$V$2:$V$201,0)))</f>
        <v>EOB Upload</v>
      </c>
      <c r="E10" s="45" t="str">
        <f>IF($O10="","",INDEX('Project Plan'!$G$2:$G$201,MATCH($O10,'Project Plan'!$V$2:$V$201,0)))</f>
        <v>Himansu Sekhar Bandha</v>
      </c>
      <c r="F10" s="46">
        <f>IF($O10="","",INDEX('Project Plan'!$I$2:$I$201,MATCH($O10,'Project Plan'!$V$2:$V$201,0)))</f>
        <v>45819</v>
      </c>
      <c r="G10" s="46">
        <f>IF($O10="","",INDEX('Project Plan'!$J$2:$J$201,MATCH($O10,'Project Plan'!$V$2:$V$201,0)))</f>
        <v>45846</v>
      </c>
      <c r="H10" s="46">
        <f>IF($O10="","",INDEX('Project Plan'!$M$2:$M$201,MATCH($O10,'Project Plan'!$V$2:$V$201,0)))</f>
        <v>45846</v>
      </c>
      <c r="I10" s="45" t="str">
        <f>IF($O10="","",INDEX('Project Plan'!$N$2:$N$201,MATCH($O10,'Project Plan'!$V$2:$V$201,0)))</f>
        <v>Completed</v>
      </c>
      <c r="J10" s="47">
        <f>IF($O10="","",INDEX('Project Plan'!$O$2:$O$201,MATCH($O10,'Project Plan'!$V$2:$V$201,0)))</f>
        <v>1</v>
      </c>
      <c r="K10" s="46">
        <f>IF($O10="","",INDEX('Project Plan'!$R$2:$R$201,MATCH($O10,'Project Plan'!$V$2:$V$201,0)))</f>
        <v>45846</v>
      </c>
      <c r="L10" s="38">
        <f>IF($O10="","",INDEX('Project Plan'!$S$2:$S$201,MATCH($O10,'Project Plan'!$V$2:$V$201,0)))</f>
        <v>0</v>
      </c>
      <c r="M10" s="38" t="str">
        <f ca="1">IF($O10="","",INDEX('Project Plan'!$T$2:$T$201,MATCH($O10,'Project Plan'!$V$2:$V$201,0)))</f>
        <v>Green</v>
      </c>
      <c r="N10" s="94">
        <f>IF($O10="","",INDEX('Project Plan'!$U$2:$U$201,MATCH($O10,'Project Plan'!$V$2:$V$201,0)))</f>
        <v>0</v>
      </c>
      <c r="O10" s="45">
        <f>IF(ROW()-1&lt;=MAX('Project Plan'!$V$2:$V$201),ROW()-1,"")</f>
        <v>9</v>
      </c>
    </row>
    <row r="11" spans="1:15" ht="13.9" customHeight="1" x14ac:dyDescent="0.25">
      <c r="A11" s="93" t="str">
        <f>IF($O11="","",INDEX('Project Plan'!$A$2:$A$201,MATCH($O11,'Project Plan'!$V$2:$V$201,0)))</f>
        <v>T-010</v>
      </c>
      <c r="B11" s="45">
        <f>IF($O11="","",INDEX('Project Plan'!$B$2:$B$201,MATCH($O11,'Project Plan'!$V$2:$V$201,0)))</f>
        <v>2.2999999999999998</v>
      </c>
      <c r="C11" s="45" t="str">
        <f>IF($O11="","",INDEX('Project Plan'!$C$2:$C$201,MATCH($O11,'Project Plan'!$V$2:$V$201,0)))</f>
        <v>Execution</v>
      </c>
      <c r="D11" s="45" t="str">
        <f>IF($O11="","",INDEX('Project Plan'!$D$2:$D$201,MATCH($O11,'Project Plan'!$V$2:$V$201,0)))</f>
        <v>EOB Processing</v>
      </c>
      <c r="E11" s="45" t="str">
        <f>IF($O11="","",INDEX('Project Plan'!$G$2:$G$201,MATCH($O11,'Project Plan'!$V$2:$V$201,0)))</f>
        <v>Himansu Sekhar Bandha</v>
      </c>
      <c r="F11" s="46">
        <f>IF($O11="","",INDEX('Project Plan'!$I$2:$I$201,MATCH($O11,'Project Plan'!$V$2:$V$201,0)))</f>
        <v>45819</v>
      </c>
      <c r="G11" s="46">
        <f>IF($O11="","",INDEX('Project Plan'!$J$2:$J$201,MATCH($O11,'Project Plan'!$V$2:$V$201,0)))</f>
        <v>45888</v>
      </c>
      <c r="H11" s="46">
        <f>IF($O11="","",INDEX('Project Plan'!$M$2:$M$201,MATCH($O11,'Project Plan'!$V$2:$V$201,0)))</f>
        <v>45888</v>
      </c>
      <c r="I11" s="45" t="str">
        <f>IF($O11="","",INDEX('Project Plan'!$N$2:$N$201,MATCH($O11,'Project Plan'!$V$2:$V$201,0)))</f>
        <v>Completed</v>
      </c>
      <c r="J11" s="47">
        <f>IF($O11="","",INDEX('Project Plan'!$O$2:$O$201,MATCH($O11,'Project Plan'!$V$2:$V$201,0)))</f>
        <v>1</v>
      </c>
      <c r="K11" s="46">
        <f>IF($O11="","",INDEX('Project Plan'!$R$2:$R$201,MATCH($O11,'Project Plan'!$V$2:$V$201,0)))</f>
        <v>45888</v>
      </c>
      <c r="L11" s="38">
        <f>IF($O11="","",INDEX('Project Plan'!$S$2:$S$201,MATCH($O11,'Project Plan'!$V$2:$V$201,0)))</f>
        <v>0</v>
      </c>
      <c r="M11" s="38" t="str">
        <f ca="1">IF($O11="","",INDEX('Project Plan'!$T$2:$T$201,MATCH($O11,'Project Plan'!$V$2:$V$201,0)))</f>
        <v>Green</v>
      </c>
      <c r="N11" s="94">
        <f>IF($O11="","",INDEX('Project Plan'!$U$2:$U$201,MATCH($O11,'Project Plan'!$V$2:$V$201,0)))</f>
        <v>0</v>
      </c>
      <c r="O11" s="45">
        <f>IF(ROW()-1&lt;=MAX('Project Plan'!$V$2:$V$201),ROW()-1,"")</f>
        <v>10</v>
      </c>
    </row>
    <row r="12" spans="1:15" ht="13.9" customHeight="1" x14ac:dyDescent="0.25">
      <c r="A12" s="93" t="str">
        <f>IF($O12="","",INDEX('Project Plan'!$A$2:$A$201,MATCH($O12,'Project Plan'!$V$2:$V$201,0)))</f>
        <v>T-011</v>
      </c>
      <c r="B12" s="45">
        <f>IF($O12="","",INDEX('Project Plan'!$B$2:$B$201,MATCH($O12,'Project Plan'!$V$2:$V$201,0)))</f>
        <v>2.4</v>
      </c>
      <c r="C12" s="45" t="str">
        <f>IF($O12="","",INDEX('Project Plan'!$C$2:$C$201,MATCH($O12,'Project Plan'!$V$2:$V$201,0)))</f>
        <v>Execution</v>
      </c>
      <c r="D12" s="45" t="str">
        <f>IF($O12="","",INDEX('Project Plan'!$D$2:$D$201,MATCH($O12,'Project Plan'!$V$2:$V$201,0)))</f>
        <v>Implement HIPAA-compliant processes</v>
      </c>
      <c r="E12" s="45" t="str">
        <f>IF($O12="","",INDEX('Project Plan'!$G$2:$G$201,MATCH($O12,'Project Plan'!$V$2:$V$201,0)))</f>
        <v>Himansu Sekhar Bandha</v>
      </c>
      <c r="F12" s="46">
        <f>IF($O12="","",INDEX('Project Plan'!$I$2:$I$201,MATCH($O12,'Project Plan'!$V$2:$V$201,0)))</f>
        <v>45833</v>
      </c>
      <c r="G12" s="46">
        <f>IF($O12="","",INDEX('Project Plan'!$J$2:$J$201,MATCH($O12,'Project Plan'!$V$2:$V$201,0)))</f>
        <v>45860</v>
      </c>
      <c r="H12" s="46">
        <f>IF($O12="","",INDEX('Project Plan'!$M$2:$M$201,MATCH($O12,'Project Plan'!$V$2:$V$201,0)))</f>
        <v>46112</v>
      </c>
      <c r="I12" s="45" t="str">
        <f>IF($O12="","",INDEX('Project Plan'!$N$2:$N$201,MATCH($O12,'Project Plan'!$V$2:$V$201,0)))</f>
        <v>Completed</v>
      </c>
      <c r="J12" s="47">
        <f>IF($O12="","",INDEX('Project Plan'!$O$2:$O$201,MATCH($O12,'Project Plan'!$V$2:$V$201,0)))</f>
        <v>1</v>
      </c>
      <c r="K12" s="46">
        <f>IF($O12="","",INDEX('Project Plan'!$R$2:$R$201,MATCH($O12,'Project Plan'!$V$2:$V$201,0)))</f>
        <v>46112</v>
      </c>
      <c r="L12" s="38">
        <f>IF($O12="","",INDEX('Project Plan'!$S$2:$S$201,MATCH($O12,'Project Plan'!$V$2:$V$201,0)))</f>
        <v>0</v>
      </c>
      <c r="M12" s="38" t="str">
        <f ca="1">IF($O12="","",INDEX('Project Plan'!$T$2:$T$201,MATCH($O12,'Project Plan'!$V$2:$V$201,0)))</f>
        <v>Green</v>
      </c>
      <c r="N12" s="94">
        <f>IF($O12="","",INDEX('Project Plan'!$U$2:$U$201,MATCH($O12,'Project Plan'!$V$2:$V$201,0)))</f>
        <v>0</v>
      </c>
      <c r="O12" s="45">
        <f>IF(ROW()-1&lt;=MAX('Project Plan'!$V$2:$V$201),ROW()-1,"")</f>
        <v>11</v>
      </c>
    </row>
    <row r="13" spans="1:15" ht="13.9" customHeight="1" x14ac:dyDescent="0.25">
      <c r="A13" s="93" t="str">
        <f>IF($O13="","",INDEX('Project Plan'!$A$2:$A$201,MATCH($O13,'Project Plan'!$V$2:$V$201,0)))</f>
        <v>T-012</v>
      </c>
      <c r="B13" s="45">
        <f>IF($O13="","",INDEX('Project Plan'!$B$2:$B$201,MATCH($O13,'Project Plan'!$V$2:$V$201,0)))</f>
        <v>2.5</v>
      </c>
      <c r="C13" s="45" t="str">
        <f>IF($O13="","",INDEX('Project Plan'!$C$2:$C$201,MATCH($O13,'Project Plan'!$V$2:$V$201,0)))</f>
        <v>Execution</v>
      </c>
      <c r="D13" s="45" t="str">
        <f>IF($O13="","",INDEX('Project Plan'!$D$2:$D$201,MATCH($O13,'Project Plan'!$V$2:$V$201,0)))</f>
        <v>OpenDental API Integration</v>
      </c>
      <c r="E13" s="45" t="str">
        <f>IF($O13="","",INDEX('Project Plan'!$G$2:$G$201,MATCH($O13,'Project Plan'!$V$2:$V$201,0)))</f>
        <v>Himansu Sekhar Bandha</v>
      </c>
      <c r="F13" s="46">
        <f>IF($O13="","",INDEX('Project Plan'!$I$2:$I$201,MATCH($O13,'Project Plan'!$V$2:$V$201,0)))</f>
        <v>45819</v>
      </c>
      <c r="G13" s="46">
        <f>IF($O13="","",INDEX('Project Plan'!$J$2:$J$201,MATCH($O13,'Project Plan'!$V$2:$V$201,0)))</f>
        <v>45860</v>
      </c>
      <c r="H13" s="46">
        <f>IF($O13="","",INDEX('Project Plan'!$M$2:$M$201,MATCH($O13,'Project Plan'!$V$2:$V$201,0)))</f>
        <v>46112</v>
      </c>
      <c r="I13" s="45" t="str">
        <f>IF($O13="","",INDEX('Project Plan'!$N$2:$N$201,MATCH($O13,'Project Plan'!$V$2:$V$201,0)))</f>
        <v>Completed</v>
      </c>
      <c r="J13" s="47">
        <f>IF($O13="","",INDEX('Project Plan'!$O$2:$O$201,MATCH($O13,'Project Plan'!$V$2:$V$201,0)))</f>
        <v>1</v>
      </c>
      <c r="K13" s="46">
        <f>IF($O13="","",INDEX('Project Plan'!$R$2:$R$201,MATCH($O13,'Project Plan'!$V$2:$V$201,0)))</f>
        <v>46112</v>
      </c>
      <c r="L13" s="38">
        <f>IF($O13="","",INDEX('Project Plan'!$S$2:$S$201,MATCH($O13,'Project Plan'!$V$2:$V$201,0)))</f>
        <v>0</v>
      </c>
      <c r="M13" s="38" t="str">
        <f ca="1">IF($O13="","",INDEX('Project Plan'!$T$2:$T$201,MATCH($O13,'Project Plan'!$V$2:$V$201,0)))</f>
        <v>Green</v>
      </c>
      <c r="N13" s="94">
        <f>IF($O13="","",INDEX('Project Plan'!$U$2:$U$201,MATCH($O13,'Project Plan'!$V$2:$V$201,0)))</f>
        <v>0</v>
      </c>
      <c r="O13" s="45">
        <f>IF(ROW()-1&lt;=MAX('Project Plan'!$V$2:$V$201),ROW()-1,"")</f>
        <v>12</v>
      </c>
    </row>
    <row r="14" spans="1:15" ht="13.9" customHeight="1" x14ac:dyDescent="0.25">
      <c r="A14" s="93" t="str">
        <f>IF($O14="","",INDEX('Project Plan'!$A$2:$A$201,MATCH($O14,'Project Plan'!$V$2:$V$201,0)))</f>
        <v>T-013</v>
      </c>
      <c r="B14" s="45">
        <f>IF($O14="","",INDEX('Project Plan'!$B$2:$B$201,MATCH($O14,'Project Plan'!$V$2:$V$201,0)))</f>
        <v>2.6</v>
      </c>
      <c r="C14" s="45" t="str">
        <f>IF($O14="","",INDEX('Project Plan'!$C$2:$C$201,MATCH($O14,'Project Plan'!$V$2:$V$201,0)))</f>
        <v>Execution</v>
      </c>
      <c r="D14" s="45" t="str">
        <f>IF($O14="","",INDEX('Project Plan'!$D$2:$D$201,MATCH($O14,'Project Plan'!$V$2:$V$201,0)))</f>
        <v>Performance Optimization</v>
      </c>
      <c r="E14" s="45" t="str">
        <f>IF($O14="","",INDEX('Project Plan'!$G$2:$G$201,MATCH($O14,'Project Plan'!$V$2:$V$201,0)))</f>
        <v>Himansu Sekhar Bandha</v>
      </c>
      <c r="F14" s="46">
        <f>IF($O14="","",INDEX('Project Plan'!$I$2:$I$201,MATCH($O14,'Project Plan'!$V$2:$V$201,0)))</f>
        <v>45847</v>
      </c>
      <c r="G14" s="46">
        <f>IF($O14="","",INDEX('Project Plan'!$J$2:$J$201,MATCH($O14,'Project Plan'!$V$2:$V$201,0)))</f>
        <v>45888</v>
      </c>
      <c r="H14" s="46">
        <f>IF($O14="","",INDEX('Project Plan'!$M$2:$M$201,MATCH($O14,'Project Plan'!$V$2:$V$201,0)))</f>
        <v>46112</v>
      </c>
      <c r="I14" s="45" t="str">
        <f>IF($O14="","",INDEX('Project Plan'!$N$2:$N$201,MATCH($O14,'Project Plan'!$V$2:$V$201,0)))</f>
        <v>Completed</v>
      </c>
      <c r="J14" s="47">
        <f>IF($O14="","",INDEX('Project Plan'!$O$2:$O$201,MATCH($O14,'Project Plan'!$V$2:$V$201,0)))</f>
        <v>1</v>
      </c>
      <c r="K14" s="46">
        <f>IF($O14="","",INDEX('Project Plan'!$R$2:$R$201,MATCH($O14,'Project Plan'!$V$2:$V$201,0)))</f>
        <v>46112</v>
      </c>
      <c r="L14" s="38">
        <f>IF($O14="","",INDEX('Project Plan'!$S$2:$S$201,MATCH($O14,'Project Plan'!$V$2:$V$201,0)))</f>
        <v>0</v>
      </c>
      <c r="M14" s="38" t="str">
        <f ca="1">IF($O14="","",INDEX('Project Plan'!$T$2:$T$201,MATCH($O14,'Project Plan'!$V$2:$V$201,0)))</f>
        <v>Green</v>
      </c>
      <c r="N14" s="94">
        <f>IF($O14="","",INDEX('Project Plan'!$U$2:$U$201,MATCH($O14,'Project Plan'!$V$2:$V$201,0)))</f>
        <v>0</v>
      </c>
      <c r="O14" s="45">
        <f>IF(ROW()-1&lt;=MAX('Project Plan'!$V$2:$V$201),ROW()-1,"")</f>
        <v>13</v>
      </c>
    </row>
    <row r="15" spans="1:15" ht="13.9" customHeight="1" x14ac:dyDescent="0.25">
      <c r="A15" s="93" t="str">
        <f>IF($O15="","",INDEX('Project Plan'!$A$2:$A$201,MATCH($O15,'Project Plan'!$V$2:$V$201,0)))</f>
        <v>T-014</v>
      </c>
      <c r="B15" s="45">
        <f>IF($O15="","",INDEX('Project Plan'!$B$2:$B$201,MATCH($O15,'Project Plan'!$V$2:$V$201,0)))</f>
        <v>2.7</v>
      </c>
      <c r="C15" s="45" t="str">
        <f>IF($O15="","",INDEX('Project Plan'!$C$2:$C$201,MATCH($O15,'Project Plan'!$V$2:$V$201,0)))</f>
        <v>Execution</v>
      </c>
      <c r="D15" s="45" t="str">
        <f>IF($O15="","",INDEX('Project Plan'!$D$2:$D$201,MATCH($O15,'Project Plan'!$V$2:$V$201,0)))</f>
        <v>User Profile</v>
      </c>
      <c r="E15" s="45" t="str">
        <f>IF($O15="","",INDEX('Project Plan'!$G$2:$G$201,MATCH($O15,'Project Plan'!$V$2:$V$201,0)))</f>
        <v>Himansu Sekhar Bandha</v>
      </c>
      <c r="F15" s="46">
        <f>IF($O15="","",INDEX('Project Plan'!$I$2:$I$201,MATCH($O15,'Project Plan'!$V$2:$V$201,0)))</f>
        <v>45861</v>
      </c>
      <c r="G15" s="46">
        <f>IF($O15="","",INDEX('Project Plan'!$J$2:$J$201,MATCH($O15,'Project Plan'!$V$2:$V$201,0)))</f>
        <v>45888</v>
      </c>
      <c r="H15" s="46">
        <f>IF($O15="","",INDEX('Project Plan'!$M$2:$M$201,MATCH($O15,'Project Plan'!$V$2:$V$201,0)))</f>
        <v>46112</v>
      </c>
      <c r="I15" s="45" t="str">
        <f>IF($O15="","",INDEX('Project Plan'!$N$2:$N$201,MATCH($O15,'Project Plan'!$V$2:$V$201,0)))</f>
        <v>Completed</v>
      </c>
      <c r="J15" s="47">
        <f>IF($O15="","",INDEX('Project Plan'!$O$2:$O$201,MATCH($O15,'Project Plan'!$V$2:$V$201,0)))</f>
        <v>1</v>
      </c>
      <c r="K15" s="46">
        <f>IF($O15="","",INDEX('Project Plan'!$R$2:$R$201,MATCH($O15,'Project Plan'!$V$2:$V$201,0)))</f>
        <v>46112</v>
      </c>
      <c r="L15" s="38">
        <f>IF($O15="","",INDEX('Project Plan'!$S$2:$S$201,MATCH($O15,'Project Plan'!$V$2:$V$201,0)))</f>
        <v>0</v>
      </c>
      <c r="M15" s="38" t="str">
        <f ca="1">IF($O15="","",INDEX('Project Plan'!$T$2:$T$201,MATCH($O15,'Project Plan'!$V$2:$V$201,0)))</f>
        <v>Green</v>
      </c>
      <c r="N15" s="94">
        <f>IF($O15="","",INDEX('Project Plan'!$U$2:$U$201,MATCH($O15,'Project Plan'!$V$2:$V$201,0)))</f>
        <v>0</v>
      </c>
      <c r="O15" s="45">
        <f>IF(ROW()-1&lt;=MAX('Project Plan'!$V$2:$V$201),ROW()-1,"")</f>
        <v>14</v>
      </c>
    </row>
    <row r="16" spans="1:15" ht="13.9" customHeight="1" x14ac:dyDescent="0.25">
      <c r="A16" s="93" t="str">
        <f>IF($O16="","",INDEX('Project Plan'!$A$2:$A$201,MATCH($O16,'Project Plan'!$V$2:$V$201,0)))</f>
        <v>T-015</v>
      </c>
      <c r="B16" s="45">
        <f>IF($O16="","",INDEX('Project Plan'!$B$2:$B$201,MATCH($O16,'Project Plan'!$V$2:$V$201,0)))</f>
        <v>2.8</v>
      </c>
      <c r="C16" s="45" t="str">
        <f>IF($O16="","",INDEX('Project Plan'!$C$2:$C$201,MATCH($O16,'Project Plan'!$V$2:$V$201,0)))</f>
        <v>Execution</v>
      </c>
      <c r="D16" s="45" t="str">
        <f>IF($O16="","",INDEX('Project Plan'!$D$2:$D$201,MATCH($O16,'Project Plan'!$V$2:$V$201,0)))</f>
        <v>Multi Clinic Capability</v>
      </c>
      <c r="E16" s="45" t="str">
        <f>IF($O16="","",INDEX('Project Plan'!$G$2:$G$201,MATCH($O16,'Project Plan'!$V$2:$V$201,0)))</f>
        <v>Himansu Sekhar Bandha</v>
      </c>
      <c r="F16" s="46">
        <f>IF($O16="","",INDEX('Project Plan'!$I$2:$I$201,MATCH($O16,'Project Plan'!$V$2:$V$201,0)))</f>
        <v>45833</v>
      </c>
      <c r="G16" s="46">
        <f>IF($O16="","",INDEX('Project Plan'!$J$2:$J$201,MATCH($O16,'Project Plan'!$V$2:$V$201,0)))</f>
        <v>45888</v>
      </c>
      <c r="H16" s="46">
        <f>IF($O16="","",INDEX('Project Plan'!$M$2:$M$201,MATCH($O16,'Project Plan'!$V$2:$V$201,0)))</f>
        <v>46112</v>
      </c>
      <c r="I16" s="45" t="str">
        <f>IF($O16="","",INDEX('Project Plan'!$N$2:$N$201,MATCH($O16,'Project Plan'!$V$2:$V$201,0)))</f>
        <v>Completed</v>
      </c>
      <c r="J16" s="47">
        <f>IF($O16="","",INDEX('Project Plan'!$O$2:$O$201,MATCH($O16,'Project Plan'!$V$2:$V$201,0)))</f>
        <v>1</v>
      </c>
      <c r="K16" s="46">
        <f>IF($O16="","",INDEX('Project Plan'!$R$2:$R$201,MATCH($O16,'Project Plan'!$V$2:$V$201,0)))</f>
        <v>46112</v>
      </c>
      <c r="L16" s="38">
        <f>IF($O16="","",INDEX('Project Plan'!$S$2:$S$201,MATCH($O16,'Project Plan'!$V$2:$V$201,0)))</f>
        <v>0</v>
      </c>
      <c r="M16" s="38" t="str">
        <f ca="1">IF($O16="","",INDEX('Project Plan'!$T$2:$T$201,MATCH($O16,'Project Plan'!$V$2:$V$201,0)))</f>
        <v>Green</v>
      </c>
      <c r="N16" s="94">
        <f>IF($O16="","",INDEX('Project Plan'!$U$2:$U$201,MATCH($O16,'Project Plan'!$V$2:$V$201,0)))</f>
        <v>0</v>
      </c>
      <c r="O16" s="45">
        <f>IF(ROW()-1&lt;=MAX('Project Plan'!$V$2:$V$201),ROW()-1,"")</f>
        <v>15</v>
      </c>
    </row>
    <row r="17" spans="1:15" ht="13.9" customHeight="1" x14ac:dyDescent="0.25">
      <c r="A17" s="93" t="str">
        <f>IF($O17="","",INDEX('Project Plan'!$A$2:$A$201,MATCH($O17,'Project Plan'!$V$2:$V$201,0)))</f>
        <v>T-016</v>
      </c>
      <c r="B17" s="45">
        <f>IF($O17="","",INDEX('Project Plan'!$B$2:$B$201,MATCH($O17,'Project Plan'!$V$2:$V$201,0)))</f>
        <v>2.9</v>
      </c>
      <c r="C17" s="45" t="str">
        <f>IF($O17="","",INDEX('Project Plan'!$C$2:$C$201,MATCH($O17,'Project Plan'!$V$2:$V$201,0)))</f>
        <v>Execution</v>
      </c>
      <c r="D17" s="45" t="str">
        <f>IF($O17="","",INDEX('Project Plan'!$D$2:$D$201,MATCH($O17,'Project Plan'!$V$2:$V$201,0)))</f>
        <v>Reporting Dashboard</v>
      </c>
      <c r="E17" s="45" t="str">
        <f>IF($O17="","",INDEX('Project Plan'!$G$2:$G$201,MATCH($O17,'Project Plan'!$V$2:$V$201,0)))</f>
        <v>Himansu Sekhar Bandha</v>
      </c>
      <c r="F17" s="46">
        <f>IF($O17="","",INDEX('Project Plan'!$I$2:$I$201,MATCH($O17,'Project Plan'!$V$2:$V$201,0)))</f>
        <v>45833</v>
      </c>
      <c r="G17" s="46">
        <f>IF($O17="","",INDEX('Project Plan'!$J$2:$J$201,MATCH($O17,'Project Plan'!$V$2:$V$201,0)))</f>
        <v>45860</v>
      </c>
      <c r="H17" s="46">
        <f>IF($O17="","",INDEX('Project Plan'!$M$2:$M$201,MATCH($O17,'Project Plan'!$V$2:$V$201,0)))</f>
        <v>46112</v>
      </c>
      <c r="I17" s="45" t="str">
        <f>IF($O17="","",INDEX('Project Plan'!$N$2:$N$201,MATCH($O17,'Project Plan'!$V$2:$V$201,0)))</f>
        <v>Completed</v>
      </c>
      <c r="J17" s="47">
        <f>IF($O17="","",INDEX('Project Plan'!$O$2:$O$201,MATCH($O17,'Project Plan'!$V$2:$V$201,0)))</f>
        <v>1</v>
      </c>
      <c r="K17" s="46">
        <f>IF($O17="","",INDEX('Project Plan'!$R$2:$R$201,MATCH($O17,'Project Plan'!$V$2:$V$201,0)))</f>
        <v>46112</v>
      </c>
      <c r="L17" s="38">
        <f>IF($O17="","",INDEX('Project Plan'!$S$2:$S$201,MATCH($O17,'Project Plan'!$V$2:$V$201,0)))</f>
        <v>0</v>
      </c>
      <c r="M17" s="38" t="str">
        <f ca="1">IF($O17="","",INDEX('Project Plan'!$T$2:$T$201,MATCH($O17,'Project Plan'!$V$2:$V$201,0)))</f>
        <v>Green</v>
      </c>
      <c r="N17" s="94">
        <f>IF($O17="","",INDEX('Project Plan'!$U$2:$U$201,MATCH($O17,'Project Plan'!$V$2:$V$201,0)))</f>
        <v>0</v>
      </c>
      <c r="O17" s="45">
        <f>IF(ROW()-1&lt;=MAX('Project Plan'!$V$2:$V$201),ROW()-1,"")</f>
        <v>16</v>
      </c>
    </row>
    <row r="18" spans="1:15" ht="13.9" customHeight="1" x14ac:dyDescent="0.25">
      <c r="A18" s="93" t="str">
        <f>IF($O18="","",INDEX('Project Plan'!$A$2:$A$201,MATCH($O18,'Project Plan'!$V$2:$V$201,0)))</f>
        <v>T-017</v>
      </c>
      <c r="B18" s="45">
        <f>IF($O18="","",INDEX('Project Plan'!$B$2:$B$201,MATCH($O18,'Project Plan'!$V$2:$V$201,0)))</f>
        <v>2.1</v>
      </c>
      <c r="C18" s="45" t="str">
        <f>IF($O18="","",INDEX('Project Plan'!$C$2:$C$201,MATCH($O18,'Project Plan'!$V$2:$V$201,0)))</f>
        <v>Execution</v>
      </c>
      <c r="D18" s="45" t="str">
        <f>IF($O18="","",INDEX('Project Plan'!$D$2:$D$201,MATCH($O18,'Project Plan'!$V$2:$V$201,0)))</f>
        <v>Regression Testing</v>
      </c>
      <c r="E18" s="45" t="str">
        <f>IF($O18="","",INDEX('Project Plan'!$G$2:$G$201,MATCH($O18,'Project Plan'!$V$2:$V$201,0)))</f>
        <v>Suresh K</v>
      </c>
      <c r="F18" s="46">
        <f>IF($O18="","",INDEX('Project Plan'!$I$2:$I$201,MATCH($O18,'Project Plan'!$V$2:$V$201,0)))</f>
        <v>45875</v>
      </c>
      <c r="G18" s="46">
        <f>IF($O18="","",INDEX('Project Plan'!$J$2:$J$201,MATCH($O18,'Project Plan'!$V$2:$V$201,0)))</f>
        <v>45878</v>
      </c>
      <c r="H18" s="46">
        <f>IF($O18="","",INDEX('Project Plan'!$M$2:$M$201,MATCH($O18,'Project Plan'!$V$2:$V$201,0)))</f>
        <v>46112</v>
      </c>
      <c r="I18" s="45" t="str">
        <f>IF($O18="","",INDEX('Project Plan'!$N$2:$N$201,MATCH($O18,'Project Plan'!$V$2:$V$201,0)))</f>
        <v>Completed</v>
      </c>
      <c r="J18" s="47">
        <f>IF($O18="","",INDEX('Project Plan'!$O$2:$O$201,MATCH($O18,'Project Plan'!$V$2:$V$201,0)))</f>
        <v>1</v>
      </c>
      <c r="K18" s="46">
        <f>IF($O18="","",INDEX('Project Plan'!$R$2:$R$201,MATCH($O18,'Project Plan'!$V$2:$V$201,0)))</f>
        <v>46112</v>
      </c>
      <c r="L18" s="38">
        <f>IF($O18="","",INDEX('Project Plan'!$S$2:$S$201,MATCH($O18,'Project Plan'!$V$2:$V$201,0)))</f>
        <v>0</v>
      </c>
      <c r="M18" s="38" t="str">
        <f ca="1">IF($O18="","",INDEX('Project Plan'!$T$2:$T$201,MATCH($O18,'Project Plan'!$V$2:$V$201,0)))</f>
        <v>Green</v>
      </c>
      <c r="N18" s="94">
        <f>IF($O18="","",INDEX('Project Plan'!$U$2:$U$201,MATCH($O18,'Project Plan'!$V$2:$V$201,0)))</f>
        <v>0</v>
      </c>
      <c r="O18" s="45">
        <f>IF(ROW()-1&lt;=MAX('Project Plan'!$V$2:$V$201),ROW()-1,"")</f>
        <v>17</v>
      </c>
    </row>
    <row r="19" spans="1:15" ht="13.9" customHeight="1" x14ac:dyDescent="0.25">
      <c r="A19" s="93" t="str">
        <f>IF($O19="","",INDEX('Project Plan'!$A$2:$A$201,MATCH($O19,'Project Plan'!$V$2:$V$201,0)))</f>
        <v>T-018</v>
      </c>
      <c r="B19" s="45">
        <f>IF($O19="","",INDEX('Project Plan'!$B$2:$B$201,MATCH($O19,'Project Plan'!$V$2:$V$201,0)))</f>
        <v>2.11</v>
      </c>
      <c r="C19" s="45" t="str">
        <f>IF($O19="","",INDEX('Project Plan'!$C$2:$C$201,MATCH($O19,'Project Plan'!$V$2:$V$201,0)))</f>
        <v>Execution</v>
      </c>
      <c r="D19" s="45" t="str">
        <f>IF($O19="","",INDEX('Project Plan'!$D$2:$D$201,MATCH($O19,'Project Plan'!$V$2:$V$201,0)))</f>
        <v>Automation Testing</v>
      </c>
      <c r="E19" s="45" t="str">
        <f>IF($O19="","",INDEX('Project Plan'!$G$2:$G$201,MATCH($O19,'Project Plan'!$V$2:$V$201,0)))</f>
        <v>Suresh K</v>
      </c>
      <c r="F19" s="46">
        <f>IF($O19="","",INDEX('Project Plan'!$I$2:$I$201,MATCH($O19,'Project Plan'!$V$2:$V$201,0)))</f>
        <v>45878</v>
      </c>
      <c r="G19" s="46">
        <f>IF($O19="","",INDEX('Project Plan'!$J$2:$J$201,MATCH($O19,'Project Plan'!$V$2:$V$201,0)))</f>
        <v>45888</v>
      </c>
      <c r="H19" s="46">
        <f>IF($O19="","",INDEX('Project Plan'!$M$2:$M$201,MATCH($O19,'Project Plan'!$V$2:$V$201,0)))</f>
        <v>46129</v>
      </c>
      <c r="I19" s="45" t="str">
        <f>IF($O19="","",INDEX('Project Plan'!$N$2:$N$201,MATCH($O19,'Project Plan'!$V$2:$V$201,0)))</f>
        <v>Completed</v>
      </c>
      <c r="J19" s="47">
        <f>IF($O19="","",INDEX('Project Plan'!$O$2:$O$201,MATCH($O19,'Project Plan'!$V$2:$V$201,0)))</f>
        <v>1</v>
      </c>
      <c r="K19" s="46">
        <f>IF($O19="","",INDEX('Project Plan'!$R$2:$R$201,MATCH($O19,'Project Plan'!$V$2:$V$201,0)))</f>
        <v>46129</v>
      </c>
      <c r="L19" s="38">
        <f>IF($O19="","",INDEX('Project Plan'!$S$2:$S$201,MATCH($O19,'Project Plan'!$V$2:$V$201,0)))</f>
        <v>0</v>
      </c>
      <c r="M19" s="38" t="str">
        <f ca="1">IF($O19="","",INDEX('Project Plan'!$T$2:$T$201,MATCH($O19,'Project Plan'!$V$2:$V$201,0)))</f>
        <v>Green</v>
      </c>
      <c r="N19" s="94">
        <f>IF($O19="","",INDEX('Project Plan'!$U$2:$U$201,MATCH($O19,'Project Plan'!$V$2:$V$201,0)))</f>
        <v>0</v>
      </c>
      <c r="O19" s="45">
        <f>IF(ROW()-1&lt;=MAX('Project Plan'!$V$2:$V$201),ROW()-1,"")</f>
        <v>18</v>
      </c>
    </row>
    <row r="20" spans="1:15" ht="13.9" customHeight="1" x14ac:dyDescent="0.25">
      <c r="A20" s="93" t="str">
        <f>IF($O20="","",INDEX('Project Plan'!$A$2:$A$201,MATCH($O20,'Project Plan'!$V$2:$V$201,0)))</f>
        <v>T-019</v>
      </c>
      <c r="B20" s="45">
        <f>IF($O20="","",INDEX('Project Plan'!$B$2:$B$201,MATCH($O20,'Project Plan'!$V$2:$V$201,0)))</f>
        <v>2.12</v>
      </c>
      <c r="C20" s="45" t="str">
        <f>IF($O20="","",INDEX('Project Plan'!$C$2:$C$201,MATCH($O20,'Project Plan'!$V$2:$V$201,0)))</f>
        <v>Execution</v>
      </c>
      <c r="D20" s="45" t="str">
        <f>IF($O20="","",INDEX('Project Plan'!$D$2:$D$201,MATCH($O20,'Project Plan'!$V$2:$V$201,0)))</f>
        <v>User Acceptance Testing</v>
      </c>
      <c r="E20" s="45" t="str">
        <f>IF($O20="","",INDEX('Project Plan'!$G$2:$G$201,MATCH($O20,'Project Plan'!$V$2:$V$201,0)))</f>
        <v>Suresh K/Ibrahim Houari</v>
      </c>
      <c r="F20" s="46">
        <f>IF($O20="","",INDEX('Project Plan'!$I$2:$I$201,MATCH($O20,'Project Plan'!$V$2:$V$201,0)))</f>
        <v>45882</v>
      </c>
      <c r="G20" s="46">
        <f>IF($O20="","",INDEX('Project Plan'!$J$2:$J$201,MATCH($O20,'Project Plan'!$V$2:$V$201,0)))</f>
        <v>45888</v>
      </c>
      <c r="H20" s="46">
        <f>IF($O20="","",INDEX('Project Plan'!$M$2:$M$201,MATCH($O20,'Project Plan'!$V$2:$V$201,0)))</f>
        <v>46129</v>
      </c>
      <c r="I20" s="45" t="str">
        <f>IF($O20="","",INDEX('Project Plan'!$N$2:$N$201,MATCH($O20,'Project Plan'!$V$2:$V$201,0)))</f>
        <v>Completed</v>
      </c>
      <c r="J20" s="47">
        <f>IF($O20="","",INDEX('Project Plan'!$O$2:$O$201,MATCH($O20,'Project Plan'!$V$2:$V$201,0)))</f>
        <v>1</v>
      </c>
      <c r="K20" s="46">
        <f>IF($O20="","",INDEX('Project Plan'!$R$2:$R$201,MATCH($O20,'Project Plan'!$V$2:$V$201,0)))</f>
        <v>46129</v>
      </c>
      <c r="L20" s="38">
        <f>IF($O20="","",INDEX('Project Plan'!$S$2:$S$201,MATCH($O20,'Project Plan'!$V$2:$V$201,0)))</f>
        <v>0</v>
      </c>
      <c r="M20" s="38" t="str">
        <f ca="1">IF($O20="","",INDEX('Project Plan'!$T$2:$T$201,MATCH($O20,'Project Plan'!$V$2:$V$201,0)))</f>
        <v>Green</v>
      </c>
      <c r="N20" s="94">
        <f>IF($O20="","",INDEX('Project Plan'!$U$2:$U$201,MATCH($O20,'Project Plan'!$V$2:$V$201,0)))</f>
        <v>0</v>
      </c>
      <c r="O20" s="45">
        <f>IF(ROW()-1&lt;=MAX('Project Plan'!$V$2:$V$201),ROW()-1,"")</f>
        <v>19</v>
      </c>
    </row>
    <row r="21" spans="1:15" ht="13.9" customHeight="1" x14ac:dyDescent="0.25">
      <c r="A21" s="93" t="str">
        <f>IF($O21="","",INDEX('Project Plan'!$A$2:$A$201,MATCH($O21,'Project Plan'!$V$2:$V$201,0)))</f>
        <v>T-020</v>
      </c>
      <c r="B21" s="45">
        <f>IF($O21="","",INDEX('Project Plan'!$B$2:$B$201,MATCH($O21,'Project Plan'!$V$2:$V$201,0)))</f>
        <v>2.13</v>
      </c>
      <c r="C21" s="45" t="str">
        <f>IF($O21="","",INDEX('Project Plan'!$C$2:$C$201,MATCH($O21,'Project Plan'!$V$2:$V$201,0)))</f>
        <v>Execution</v>
      </c>
      <c r="D21" s="45" t="str">
        <f>IF($O21="","",INDEX('Project Plan'!$D$2:$D$201,MATCH($O21,'Project Plan'!$V$2:$V$201,0)))</f>
        <v>Production readiness and Deployment to Production</v>
      </c>
      <c r="E21" s="45" t="str">
        <f>IF($O21="","",INDEX('Project Plan'!$G$2:$G$201,MATCH($O21,'Project Plan'!$V$2:$V$201,0)))</f>
        <v>Suresh K/Ibrahim Houari</v>
      </c>
      <c r="F21" s="46">
        <f>IF($O21="","",INDEX('Project Plan'!$I$2:$I$201,MATCH($O21,'Project Plan'!$V$2:$V$201,0)))</f>
        <v>45915</v>
      </c>
      <c r="G21" s="46">
        <f>IF($O21="","",INDEX('Project Plan'!$J$2:$J$201,MATCH($O21,'Project Plan'!$V$2:$V$201,0)))</f>
        <v>45915</v>
      </c>
      <c r="H21" s="46">
        <f>IF($O21="","",INDEX('Project Plan'!$M$2:$M$201,MATCH($O21,'Project Plan'!$V$2:$V$201,0)))</f>
        <v>45915</v>
      </c>
      <c r="I21" s="45" t="str">
        <f>IF($O21="","",INDEX('Project Plan'!$N$2:$N$201,MATCH($O21,'Project Plan'!$V$2:$V$201,0)))</f>
        <v>Completed</v>
      </c>
      <c r="J21" s="47">
        <f>IF($O21="","",INDEX('Project Plan'!$O$2:$O$201,MATCH($O21,'Project Plan'!$V$2:$V$201,0)))</f>
        <v>1</v>
      </c>
      <c r="K21" s="46">
        <f>IF($O21="","",INDEX('Project Plan'!$R$2:$R$201,MATCH($O21,'Project Plan'!$V$2:$V$201,0)))</f>
        <v>45915</v>
      </c>
      <c r="L21" s="38">
        <f>IF($O21="","",INDEX('Project Plan'!$S$2:$S$201,MATCH($O21,'Project Plan'!$V$2:$V$201,0)))</f>
        <v>0</v>
      </c>
      <c r="M21" s="38" t="str">
        <f ca="1">IF($O21="","",INDEX('Project Plan'!$T$2:$T$201,MATCH($O21,'Project Plan'!$V$2:$V$201,0)))</f>
        <v>Green</v>
      </c>
      <c r="N21" s="94">
        <f>IF($O21="","",INDEX('Project Plan'!$U$2:$U$201,MATCH($O21,'Project Plan'!$V$2:$V$201,0)))</f>
        <v>0</v>
      </c>
      <c r="O21" s="45">
        <f>IF(ROW()-1&lt;=MAX('Project Plan'!$V$2:$V$201),ROW()-1,"")</f>
        <v>20</v>
      </c>
    </row>
    <row r="22" spans="1:15" ht="13.9" customHeight="1" x14ac:dyDescent="0.25">
      <c r="A22" s="93" t="str">
        <f>IF($O22="","",INDEX('Project Plan'!$A$2:$A$201,MATCH($O22,'Project Plan'!$V$2:$V$201,0)))</f>
        <v>T-021</v>
      </c>
      <c r="B22" s="45">
        <f>IF($O22="","",INDEX('Project Plan'!$B$2:$B$201,MATCH($O22,'Project Plan'!$V$2:$V$201,0)))</f>
        <v>2.14</v>
      </c>
      <c r="C22" s="45" t="str">
        <f>IF($O22="","",INDEX('Project Plan'!$C$2:$C$201,MATCH($O22,'Project Plan'!$V$2:$V$201,0)))</f>
        <v>Monitoring &amp; Control</v>
      </c>
      <c r="D22" s="45" t="str">
        <f>IF($O22="","",INDEX('Project Plan'!$D$2:$D$201,MATCH($O22,'Project Plan'!$V$2:$V$201,0)))</f>
        <v>Production Validation</v>
      </c>
      <c r="E22" s="45" t="str">
        <f>IF($O22="","",INDEX('Project Plan'!$G$2:$G$201,MATCH($O22,'Project Plan'!$V$2:$V$201,0)))</f>
        <v>Suresh K/Ibrahim Houari</v>
      </c>
      <c r="F22" s="46">
        <f>IF($O22="","",INDEX('Project Plan'!$I$2:$I$201,MATCH($O22,'Project Plan'!$V$2:$V$201,0)))</f>
        <v>45915</v>
      </c>
      <c r="G22" s="46">
        <f>IF($O22="","",INDEX('Project Plan'!$J$2:$J$201,MATCH($O22,'Project Plan'!$V$2:$V$201,0)))</f>
        <v>45915</v>
      </c>
      <c r="H22" s="46">
        <f>IF($O22="","",INDEX('Project Plan'!$M$2:$M$201,MATCH($O22,'Project Plan'!$V$2:$V$201,0)))</f>
        <v>45915</v>
      </c>
      <c r="I22" s="45" t="str">
        <f>IF($O22="","",INDEX('Project Plan'!$N$2:$N$201,MATCH($O22,'Project Plan'!$V$2:$V$201,0)))</f>
        <v>Completed</v>
      </c>
      <c r="J22" s="47">
        <f>IF($O22="","",INDEX('Project Plan'!$O$2:$O$201,MATCH($O22,'Project Plan'!$V$2:$V$201,0)))</f>
        <v>1</v>
      </c>
      <c r="K22" s="46">
        <f>IF($O22="","",INDEX('Project Plan'!$R$2:$R$201,MATCH($O22,'Project Plan'!$V$2:$V$201,0)))</f>
        <v>45915</v>
      </c>
      <c r="L22" s="38">
        <f>IF($O22="","",INDEX('Project Plan'!$S$2:$S$201,MATCH($O22,'Project Plan'!$V$2:$V$201,0)))</f>
        <v>0</v>
      </c>
      <c r="M22" s="38" t="str">
        <f ca="1">IF($O22="","",INDEX('Project Plan'!$T$2:$T$201,MATCH($O22,'Project Plan'!$V$2:$V$201,0)))</f>
        <v>Green</v>
      </c>
      <c r="N22" s="94">
        <f>IF($O22="","",INDEX('Project Plan'!$U$2:$U$201,MATCH($O22,'Project Plan'!$V$2:$V$201,0)))</f>
        <v>0</v>
      </c>
      <c r="O22" s="45">
        <f>IF(ROW()-1&lt;=MAX('Project Plan'!$V$2:$V$201),ROW()-1,"")</f>
        <v>21</v>
      </c>
    </row>
    <row r="23" spans="1:15" ht="13.9" customHeight="1" x14ac:dyDescent="0.25">
      <c r="A23" s="93" t="str">
        <f>IF($O23="","",INDEX('Project Plan'!$A$2:$A$201,MATCH($O23,'Project Plan'!$V$2:$V$201,0)))</f>
        <v>T-022</v>
      </c>
      <c r="B23" s="45">
        <f>IF($O23="","",INDEX('Project Plan'!$B$2:$B$201,MATCH($O23,'Project Plan'!$V$2:$V$201,0)))</f>
        <v>2.15</v>
      </c>
      <c r="C23" s="45" t="str">
        <f>IF($O23="","",INDEX('Project Plan'!$C$2:$C$201,MATCH($O23,'Project Plan'!$V$2:$V$201,0)))</f>
        <v>Monitoring &amp; Control</v>
      </c>
      <c r="D23" s="45" t="str">
        <f>IF($O23="","",INDEX('Project Plan'!$D$2:$D$201,MATCH($O23,'Project Plan'!$V$2:$V$201,0)))</f>
        <v>UAT Sessions and Bug fixes</v>
      </c>
      <c r="E23" s="45" t="str">
        <f>IF($O23="","",INDEX('Project Plan'!$G$2:$G$201,MATCH($O23,'Project Plan'!$V$2:$V$201,0)))</f>
        <v>Suresh K/Ibrahim Houari</v>
      </c>
      <c r="F23" s="46">
        <f>IF($O23="","",INDEX('Project Plan'!$I$2:$I$201,MATCH($O23,'Project Plan'!$V$2:$V$201,0)))</f>
        <v>45915</v>
      </c>
      <c r="G23" s="46">
        <f>IF($O23="","",INDEX('Project Plan'!$J$2:$J$201,MATCH($O23,'Project Plan'!$V$2:$V$201,0)))</f>
        <v>45991</v>
      </c>
      <c r="H23" s="46">
        <f>IF($O23="","",INDEX('Project Plan'!$M$2:$M$201,MATCH($O23,'Project Plan'!$V$2:$V$201,0)))</f>
        <v>46142</v>
      </c>
      <c r="I23" s="45" t="str">
        <f>IF($O23="","",INDEX('Project Plan'!$N$2:$N$201,MATCH($O23,'Project Plan'!$V$2:$V$201,0)))</f>
        <v>Completed</v>
      </c>
      <c r="J23" s="47">
        <f>IF($O23="","",INDEX('Project Plan'!$O$2:$O$201,MATCH($O23,'Project Plan'!$V$2:$V$201,0)))</f>
        <v>1</v>
      </c>
      <c r="K23" s="46">
        <f>IF($O23="","",INDEX('Project Plan'!$R$2:$R$201,MATCH($O23,'Project Plan'!$V$2:$V$201,0)))</f>
        <v>45991</v>
      </c>
      <c r="L23" s="38">
        <f>IF($O23="","",INDEX('Project Plan'!$S$2:$S$201,MATCH($O23,'Project Plan'!$V$2:$V$201,0)))</f>
        <v>151</v>
      </c>
      <c r="M23" s="38" t="str">
        <f ca="1">IF($O23="","",INDEX('Project Plan'!$T$2:$T$201,MATCH($O23,'Project Plan'!$V$2:$V$201,0)))</f>
        <v>Green</v>
      </c>
      <c r="N23" s="94">
        <f>IF($O23="","",INDEX('Project Plan'!$U$2:$U$201,MATCH($O23,'Project Plan'!$V$2:$V$201,0)))</f>
        <v>0</v>
      </c>
      <c r="O23" s="45">
        <f>IF(ROW()-1&lt;=MAX('Project Plan'!$V$2:$V$201),ROW()-1,"")</f>
        <v>22</v>
      </c>
    </row>
    <row r="24" spans="1:15" ht="13.9" customHeight="1" x14ac:dyDescent="0.25">
      <c r="A24" s="93" t="str">
        <f>IF($O24="","",INDEX('Project Plan'!$A$2:$A$201,MATCH($O24,'Project Plan'!$V$2:$V$201,0)))</f>
        <v>T-023</v>
      </c>
      <c r="B24" s="45">
        <f>IF($O24="","",INDEX('Project Plan'!$B$2:$B$201,MATCH($O24,'Project Plan'!$V$2:$V$201,0)))</f>
        <v>3.1</v>
      </c>
      <c r="C24" s="45" t="str">
        <f>IF($O24="","",INDEX('Project Plan'!$C$2:$C$201,MATCH($O24,'Project Plan'!$V$2:$V$201,0)))</f>
        <v>Closure</v>
      </c>
      <c r="D24" s="45" t="str">
        <f>IF($O24="","",INDEX('Project Plan'!$D$2:$D$201,MATCH($O24,'Project Plan'!$V$2:$V$201,0)))</f>
        <v>Closure documentation</v>
      </c>
      <c r="E24" s="45" t="str">
        <f>IF($O24="","",INDEX('Project Plan'!$G$2:$G$201,MATCH($O24,'Project Plan'!$V$2:$V$201,0)))</f>
        <v>Suseela Nookala</v>
      </c>
      <c r="F24" s="46">
        <f>IF($O24="","",INDEX('Project Plan'!$I$2:$I$201,MATCH($O24,'Project Plan'!$V$2:$V$201,0)))</f>
        <v>46143</v>
      </c>
      <c r="G24" s="46">
        <f>IF($O24="","",INDEX('Project Plan'!$J$2:$J$201,MATCH($O24,'Project Plan'!$V$2:$V$201,0)))</f>
        <v>46143</v>
      </c>
      <c r="H24" s="46">
        <f>IF($O24="","",INDEX('Project Plan'!$M$2:$M$201,MATCH($O24,'Project Plan'!$V$2:$V$201,0)))</f>
        <v>46143</v>
      </c>
      <c r="I24" s="45" t="str">
        <f>IF($O24="","",INDEX('Project Plan'!$N$2:$N$201,MATCH($O24,'Project Plan'!$V$2:$V$201,0)))</f>
        <v>In Progress</v>
      </c>
      <c r="J24" s="47">
        <f>IF($O24="","",INDEX('Project Plan'!$O$2:$O$201,MATCH($O24,'Project Plan'!$V$2:$V$201,0)))</f>
        <v>1</v>
      </c>
      <c r="K24" s="46">
        <f>IF($O24="","",INDEX('Project Plan'!$R$2:$R$201,MATCH($O24,'Project Plan'!$V$2:$V$201,0)))</f>
        <v>46143</v>
      </c>
      <c r="L24" s="38">
        <f>IF($O24="","",INDEX('Project Plan'!$S$2:$S$201,MATCH($O24,'Project Plan'!$V$2:$V$201,0)))</f>
        <v>0</v>
      </c>
      <c r="M24" s="38" t="str">
        <f ca="1">IF($O24="","",INDEX('Project Plan'!$T$2:$T$201,MATCH($O24,'Project Plan'!$V$2:$V$201,0)))</f>
        <v>Red</v>
      </c>
      <c r="N24" s="94">
        <f>IF($O24="","",INDEX('Project Plan'!$U$2:$U$201,MATCH($O24,'Project Plan'!$V$2:$V$201,0)))</f>
        <v>0</v>
      </c>
      <c r="O24" s="45">
        <f>IF(ROW()-1&lt;=MAX('Project Plan'!$V$2:$V$201),ROW()-1,"")</f>
        <v>23</v>
      </c>
    </row>
    <row r="25" spans="1:15" ht="13.9" customHeight="1" x14ac:dyDescent="0.25">
      <c r="A25" s="93" t="str">
        <f>IF($O25="","",INDEX('Project Plan'!$A$2:$A$201,MATCH($O25,'Project Plan'!$V$2:$V$201,0)))</f>
        <v/>
      </c>
      <c r="B25" s="45" t="str">
        <f>IF($O25="","",INDEX('Project Plan'!$B$2:$B$201,MATCH($O25,'Project Plan'!$V$2:$V$201,0)))</f>
        <v/>
      </c>
      <c r="C25" s="45" t="str">
        <f>IF($O25="","",INDEX('Project Plan'!$C$2:$C$201,MATCH($O25,'Project Plan'!$V$2:$V$201,0)))</f>
        <v/>
      </c>
      <c r="D25" s="45" t="str">
        <f>IF($O25="","",INDEX('Project Plan'!$D$2:$D$201,MATCH($O25,'Project Plan'!$V$2:$V$201,0)))</f>
        <v/>
      </c>
      <c r="E25" s="45" t="str">
        <f>IF($O25="","",INDEX('Project Plan'!$G$2:$G$201,MATCH($O25,'Project Plan'!$V$2:$V$201,0)))</f>
        <v/>
      </c>
      <c r="F25" s="46" t="str">
        <f>IF($O25="","",INDEX('Project Plan'!$I$2:$I$201,MATCH($O25,'Project Plan'!$V$2:$V$201,0)))</f>
        <v/>
      </c>
      <c r="G25" s="46" t="str">
        <f>IF($O25="","",INDEX('Project Plan'!$J$2:$J$201,MATCH($O25,'Project Plan'!$V$2:$V$201,0)))</f>
        <v/>
      </c>
      <c r="H25" s="46" t="str">
        <f>IF($O25="","",INDEX('Project Plan'!$M$2:$M$201,MATCH($O25,'Project Plan'!$V$2:$V$201,0)))</f>
        <v/>
      </c>
      <c r="I25" s="45" t="str">
        <f>IF($O25="","",INDEX('Project Plan'!$N$2:$N$201,MATCH($O25,'Project Plan'!$V$2:$V$201,0)))</f>
        <v/>
      </c>
      <c r="J25" s="47" t="str">
        <f>IF($O25="","",INDEX('Project Plan'!$O$2:$O$201,MATCH($O25,'Project Plan'!$V$2:$V$201,0)))</f>
        <v/>
      </c>
      <c r="K25" s="46" t="str">
        <f>IF($O25="","",INDEX('Project Plan'!$R$2:$R$201,MATCH($O25,'Project Plan'!$V$2:$V$201,0)))</f>
        <v/>
      </c>
      <c r="L25" s="38" t="str">
        <f>IF($O25="","",INDEX('Project Plan'!$S$2:$S$201,MATCH($O25,'Project Plan'!$V$2:$V$201,0)))</f>
        <v/>
      </c>
      <c r="M25" s="38" t="str">
        <f>IF($O25="","",INDEX('Project Plan'!$T$2:$T$201,MATCH($O25,'Project Plan'!$V$2:$V$201,0)))</f>
        <v/>
      </c>
      <c r="N25" s="94" t="str">
        <f>IF($O25="","",INDEX('Project Plan'!$U$2:$U$201,MATCH($O25,'Project Plan'!$V$2:$V$201,0)))</f>
        <v/>
      </c>
      <c r="O25" s="45" t="str">
        <f>IF(ROW()-1&lt;=MAX('Project Plan'!$V$2:$V$201),ROW()-1,"")</f>
        <v/>
      </c>
    </row>
    <row r="26" spans="1:15" ht="13.9" customHeight="1" x14ac:dyDescent="0.25">
      <c r="A26" s="93" t="str">
        <f>IF($O26="","",INDEX('Project Plan'!$A$2:$A$201,MATCH($O26,'Project Plan'!$V$2:$V$201,0)))</f>
        <v/>
      </c>
      <c r="B26" s="45" t="str">
        <f>IF($O26="","",INDEX('Project Plan'!$B$2:$B$201,MATCH($O26,'Project Plan'!$V$2:$V$201,0)))</f>
        <v/>
      </c>
      <c r="C26" s="45" t="str">
        <f>IF($O26="","",INDEX('Project Plan'!$C$2:$C$201,MATCH($O26,'Project Plan'!$V$2:$V$201,0)))</f>
        <v/>
      </c>
      <c r="D26" s="45" t="str">
        <f>IF($O26="","",INDEX('Project Plan'!$D$2:$D$201,MATCH($O26,'Project Plan'!$V$2:$V$201,0)))</f>
        <v/>
      </c>
      <c r="E26" s="45" t="str">
        <f>IF($O26="","",INDEX('Project Plan'!$G$2:$G$201,MATCH($O26,'Project Plan'!$V$2:$V$201,0)))</f>
        <v/>
      </c>
      <c r="F26" s="46" t="str">
        <f>IF($O26="","",INDEX('Project Plan'!$I$2:$I$201,MATCH($O26,'Project Plan'!$V$2:$V$201,0)))</f>
        <v/>
      </c>
      <c r="G26" s="46" t="str">
        <f>IF($O26="","",INDEX('Project Plan'!$J$2:$J$201,MATCH($O26,'Project Plan'!$V$2:$V$201,0)))</f>
        <v/>
      </c>
      <c r="H26" s="46" t="str">
        <f>IF($O26="","",INDEX('Project Plan'!$M$2:$M$201,MATCH($O26,'Project Plan'!$V$2:$V$201,0)))</f>
        <v/>
      </c>
      <c r="I26" s="45" t="str">
        <f>IF($O26="","",INDEX('Project Plan'!$N$2:$N$201,MATCH($O26,'Project Plan'!$V$2:$V$201,0)))</f>
        <v/>
      </c>
      <c r="J26" s="47" t="str">
        <f>IF($O26="","",INDEX('Project Plan'!$O$2:$O$201,MATCH($O26,'Project Plan'!$V$2:$V$201,0)))</f>
        <v/>
      </c>
      <c r="K26" s="46" t="str">
        <f>IF($O26="","",INDEX('Project Plan'!$R$2:$R$201,MATCH($O26,'Project Plan'!$V$2:$V$201,0)))</f>
        <v/>
      </c>
      <c r="L26" s="38" t="str">
        <f>IF($O26="","",INDEX('Project Plan'!$S$2:$S$201,MATCH($O26,'Project Plan'!$V$2:$V$201,0)))</f>
        <v/>
      </c>
      <c r="M26" s="38" t="str">
        <f>IF($O26="","",INDEX('Project Plan'!$T$2:$T$201,MATCH($O26,'Project Plan'!$V$2:$V$201,0)))</f>
        <v/>
      </c>
      <c r="N26" s="94" t="str">
        <f>IF($O26="","",INDEX('Project Plan'!$U$2:$U$201,MATCH($O26,'Project Plan'!$V$2:$V$201,0)))</f>
        <v/>
      </c>
      <c r="O26" s="45" t="str">
        <f>IF(ROW()-1&lt;=MAX('Project Plan'!$V$2:$V$201),ROW()-1,"")</f>
        <v/>
      </c>
    </row>
    <row r="27" spans="1:15" ht="13.9" customHeight="1" x14ac:dyDescent="0.25">
      <c r="A27" s="93" t="str">
        <f>IF($O27="","",INDEX('Project Plan'!$A$2:$A$201,MATCH($O27,'Project Plan'!$V$2:$V$201,0)))</f>
        <v/>
      </c>
      <c r="B27" s="45" t="str">
        <f>IF($O27="","",INDEX('Project Plan'!$B$2:$B$201,MATCH($O27,'Project Plan'!$V$2:$V$201,0)))</f>
        <v/>
      </c>
      <c r="C27" s="45" t="str">
        <f>IF($O27="","",INDEX('Project Plan'!$C$2:$C$201,MATCH($O27,'Project Plan'!$V$2:$V$201,0)))</f>
        <v/>
      </c>
      <c r="D27" s="45" t="str">
        <f>IF($O27="","",INDEX('Project Plan'!$D$2:$D$201,MATCH($O27,'Project Plan'!$V$2:$V$201,0)))</f>
        <v/>
      </c>
      <c r="E27" s="45" t="str">
        <f>IF($O27="","",INDEX('Project Plan'!$G$2:$G$201,MATCH($O27,'Project Plan'!$V$2:$V$201,0)))</f>
        <v/>
      </c>
      <c r="F27" s="46" t="str">
        <f>IF($O27="","",INDEX('Project Plan'!$I$2:$I$201,MATCH($O27,'Project Plan'!$V$2:$V$201,0)))</f>
        <v/>
      </c>
      <c r="G27" s="46" t="str">
        <f>IF($O27="","",INDEX('Project Plan'!$J$2:$J$201,MATCH($O27,'Project Plan'!$V$2:$V$201,0)))</f>
        <v/>
      </c>
      <c r="H27" s="46" t="str">
        <f>IF($O27="","",INDEX('Project Plan'!$M$2:$M$201,MATCH($O27,'Project Plan'!$V$2:$V$201,0)))</f>
        <v/>
      </c>
      <c r="I27" s="45" t="str">
        <f>IF($O27="","",INDEX('Project Plan'!$N$2:$N$201,MATCH($O27,'Project Plan'!$V$2:$V$201,0)))</f>
        <v/>
      </c>
      <c r="J27" s="47" t="str">
        <f>IF($O27="","",INDEX('Project Plan'!$O$2:$O$201,MATCH($O27,'Project Plan'!$V$2:$V$201,0)))</f>
        <v/>
      </c>
      <c r="K27" s="46" t="str">
        <f>IF($O27="","",INDEX('Project Plan'!$R$2:$R$201,MATCH($O27,'Project Plan'!$V$2:$V$201,0)))</f>
        <v/>
      </c>
      <c r="L27" s="38" t="str">
        <f>IF($O27="","",INDEX('Project Plan'!$S$2:$S$201,MATCH($O27,'Project Plan'!$V$2:$V$201,0)))</f>
        <v/>
      </c>
      <c r="M27" s="38" t="str">
        <f>IF($O27="","",INDEX('Project Plan'!$T$2:$T$201,MATCH($O27,'Project Plan'!$V$2:$V$201,0)))</f>
        <v/>
      </c>
      <c r="N27" s="94" t="str">
        <f>IF($O27="","",INDEX('Project Plan'!$U$2:$U$201,MATCH($O27,'Project Plan'!$V$2:$V$201,0)))</f>
        <v/>
      </c>
      <c r="O27" s="45" t="str">
        <f>IF(ROW()-1&lt;=MAX('Project Plan'!$V$2:$V$201),ROW()-1,"")</f>
        <v/>
      </c>
    </row>
    <row r="28" spans="1:15" ht="13.9" customHeight="1" x14ac:dyDescent="0.25">
      <c r="A28" s="93" t="str">
        <f>IF($O28="","",INDEX('Project Plan'!$A$2:$A$201,MATCH($O28,'Project Plan'!$V$2:$V$201,0)))</f>
        <v/>
      </c>
      <c r="B28" s="45" t="str">
        <f>IF($O28="","",INDEX('Project Plan'!$B$2:$B$201,MATCH($O28,'Project Plan'!$V$2:$V$201,0)))</f>
        <v/>
      </c>
      <c r="C28" s="45" t="str">
        <f>IF($O28="","",INDEX('Project Plan'!$C$2:$C$201,MATCH($O28,'Project Plan'!$V$2:$V$201,0)))</f>
        <v/>
      </c>
      <c r="D28" s="45" t="str">
        <f>IF($O28="","",INDEX('Project Plan'!$D$2:$D$201,MATCH($O28,'Project Plan'!$V$2:$V$201,0)))</f>
        <v/>
      </c>
      <c r="E28" s="45" t="str">
        <f>IF($O28="","",INDEX('Project Plan'!$G$2:$G$201,MATCH($O28,'Project Plan'!$V$2:$V$201,0)))</f>
        <v/>
      </c>
      <c r="F28" s="46" t="str">
        <f>IF($O28="","",INDEX('Project Plan'!$I$2:$I$201,MATCH($O28,'Project Plan'!$V$2:$V$201,0)))</f>
        <v/>
      </c>
      <c r="G28" s="46" t="str">
        <f>IF($O28="","",INDEX('Project Plan'!$J$2:$J$201,MATCH($O28,'Project Plan'!$V$2:$V$201,0)))</f>
        <v/>
      </c>
      <c r="H28" s="46" t="str">
        <f>IF($O28="","",INDEX('Project Plan'!$M$2:$M$201,MATCH($O28,'Project Plan'!$V$2:$V$201,0)))</f>
        <v/>
      </c>
      <c r="I28" s="45" t="str">
        <f>IF($O28="","",INDEX('Project Plan'!$N$2:$N$201,MATCH($O28,'Project Plan'!$V$2:$V$201,0)))</f>
        <v/>
      </c>
      <c r="J28" s="47" t="str">
        <f>IF($O28="","",INDEX('Project Plan'!$O$2:$O$201,MATCH($O28,'Project Plan'!$V$2:$V$201,0)))</f>
        <v/>
      </c>
      <c r="K28" s="46" t="str">
        <f>IF($O28="","",INDEX('Project Plan'!$R$2:$R$201,MATCH($O28,'Project Plan'!$V$2:$V$201,0)))</f>
        <v/>
      </c>
      <c r="L28" s="38" t="str">
        <f>IF($O28="","",INDEX('Project Plan'!$S$2:$S$201,MATCH($O28,'Project Plan'!$V$2:$V$201,0)))</f>
        <v/>
      </c>
      <c r="M28" s="38" t="str">
        <f>IF($O28="","",INDEX('Project Plan'!$T$2:$T$201,MATCH($O28,'Project Plan'!$V$2:$V$201,0)))</f>
        <v/>
      </c>
      <c r="N28" s="94" t="str">
        <f>IF($O28="","",INDEX('Project Plan'!$U$2:$U$201,MATCH($O28,'Project Plan'!$V$2:$V$201,0)))</f>
        <v/>
      </c>
      <c r="O28" s="45" t="str">
        <f>IF(ROW()-1&lt;=MAX('Project Plan'!$V$2:$V$201),ROW()-1,"")</f>
        <v/>
      </c>
    </row>
    <row r="29" spans="1:15" ht="13.9" customHeight="1" x14ac:dyDescent="0.25">
      <c r="A29" s="93" t="str">
        <f>IF($O29="","",INDEX('Project Plan'!$A$2:$A$201,MATCH($O29,'Project Plan'!$V$2:$V$201,0)))</f>
        <v/>
      </c>
      <c r="B29" s="45" t="str">
        <f>IF($O29="","",INDEX('Project Plan'!$B$2:$B$201,MATCH($O29,'Project Plan'!$V$2:$V$201,0)))</f>
        <v/>
      </c>
      <c r="C29" s="45" t="str">
        <f>IF($O29="","",INDEX('Project Plan'!$C$2:$C$201,MATCH($O29,'Project Plan'!$V$2:$V$201,0)))</f>
        <v/>
      </c>
      <c r="D29" s="45" t="str">
        <f>IF($O29="","",INDEX('Project Plan'!$D$2:$D$201,MATCH($O29,'Project Plan'!$V$2:$V$201,0)))</f>
        <v/>
      </c>
      <c r="E29" s="45" t="str">
        <f>IF($O29="","",INDEX('Project Plan'!$G$2:$G$201,MATCH($O29,'Project Plan'!$V$2:$V$201,0)))</f>
        <v/>
      </c>
      <c r="F29" s="46" t="str">
        <f>IF($O29="","",INDEX('Project Plan'!$I$2:$I$201,MATCH($O29,'Project Plan'!$V$2:$V$201,0)))</f>
        <v/>
      </c>
      <c r="G29" s="46" t="str">
        <f>IF($O29="","",INDEX('Project Plan'!$J$2:$J$201,MATCH($O29,'Project Plan'!$V$2:$V$201,0)))</f>
        <v/>
      </c>
      <c r="H29" s="46" t="str">
        <f>IF($O29="","",INDEX('Project Plan'!$M$2:$M$201,MATCH($O29,'Project Plan'!$V$2:$V$201,0)))</f>
        <v/>
      </c>
      <c r="I29" s="45" t="str">
        <f>IF($O29="","",INDEX('Project Plan'!$N$2:$N$201,MATCH($O29,'Project Plan'!$V$2:$V$201,0)))</f>
        <v/>
      </c>
      <c r="J29" s="47" t="str">
        <f>IF($O29="","",INDEX('Project Plan'!$O$2:$O$201,MATCH($O29,'Project Plan'!$V$2:$V$201,0)))</f>
        <v/>
      </c>
      <c r="K29" s="46" t="str">
        <f>IF($O29="","",INDEX('Project Plan'!$R$2:$R$201,MATCH($O29,'Project Plan'!$V$2:$V$201,0)))</f>
        <v/>
      </c>
      <c r="L29" s="38" t="str">
        <f>IF($O29="","",INDEX('Project Plan'!$S$2:$S$201,MATCH($O29,'Project Plan'!$V$2:$V$201,0)))</f>
        <v/>
      </c>
      <c r="M29" s="38" t="str">
        <f>IF($O29="","",INDEX('Project Plan'!$T$2:$T$201,MATCH($O29,'Project Plan'!$V$2:$V$201,0)))</f>
        <v/>
      </c>
      <c r="N29" s="94" t="str">
        <f>IF($O29="","",INDEX('Project Plan'!$U$2:$U$201,MATCH($O29,'Project Plan'!$V$2:$V$201,0)))</f>
        <v/>
      </c>
      <c r="O29" s="45" t="str">
        <f>IF(ROW()-1&lt;=MAX('Project Plan'!$V$2:$V$201),ROW()-1,"")</f>
        <v/>
      </c>
    </row>
    <row r="30" spans="1:15" ht="13.9" customHeight="1" x14ac:dyDescent="0.25">
      <c r="A30" s="93" t="str">
        <f>IF($O30="","",INDEX('Project Plan'!$A$2:$A$201,MATCH($O30,'Project Plan'!$V$2:$V$201,0)))</f>
        <v/>
      </c>
      <c r="B30" s="45" t="str">
        <f>IF($O30="","",INDEX('Project Plan'!$B$2:$B$201,MATCH($O30,'Project Plan'!$V$2:$V$201,0)))</f>
        <v/>
      </c>
      <c r="C30" s="45" t="str">
        <f>IF($O30="","",INDEX('Project Plan'!$C$2:$C$201,MATCH($O30,'Project Plan'!$V$2:$V$201,0)))</f>
        <v/>
      </c>
      <c r="D30" s="45" t="str">
        <f>IF($O30="","",INDEX('Project Plan'!$D$2:$D$201,MATCH($O30,'Project Plan'!$V$2:$V$201,0)))</f>
        <v/>
      </c>
      <c r="E30" s="45" t="str">
        <f>IF($O30="","",INDEX('Project Plan'!$G$2:$G$201,MATCH($O30,'Project Plan'!$V$2:$V$201,0)))</f>
        <v/>
      </c>
      <c r="F30" s="46" t="str">
        <f>IF($O30="","",INDEX('Project Plan'!$I$2:$I$201,MATCH($O30,'Project Plan'!$V$2:$V$201,0)))</f>
        <v/>
      </c>
      <c r="G30" s="46" t="str">
        <f>IF($O30="","",INDEX('Project Plan'!$J$2:$J$201,MATCH($O30,'Project Plan'!$V$2:$V$201,0)))</f>
        <v/>
      </c>
      <c r="H30" s="46" t="str">
        <f>IF($O30="","",INDEX('Project Plan'!$M$2:$M$201,MATCH($O30,'Project Plan'!$V$2:$V$201,0)))</f>
        <v/>
      </c>
      <c r="I30" s="45" t="str">
        <f>IF($O30="","",INDEX('Project Plan'!$N$2:$N$201,MATCH($O30,'Project Plan'!$V$2:$V$201,0)))</f>
        <v/>
      </c>
      <c r="J30" s="47" t="str">
        <f>IF($O30="","",INDEX('Project Plan'!$O$2:$O$201,MATCH($O30,'Project Plan'!$V$2:$V$201,0)))</f>
        <v/>
      </c>
      <c r="K30" s="46" t="str">
        <f>IF($O30="","",INDEX('Project Plan'!$R$2:$R$201,MATCH($O30,'Project Plan'!$V$2:$V$201,0)))</f>
        <v/>
      </c>
      <c r="L30" s="38" t="str">
        <f>IF($O30="","",INDEX('Project Plan'!$S$2:$S$201,MATCH($O30,'Project Plan'!$V$2:$V$201,0)))</f>
        <v/>
      </c>
      <c r="M30" s="38" t="str">
        <f>IF($O30="","",INDEX('Project Plan'!$T$2:$T$201,MATCH($O30,'Project Plan'!$V$2:$V$201,0)))</f>
        <v/>
      </c>
      <c r="N30" s="94" t="str">
        <f>IF($O30="","",INDEX('Project Plan'!$U$2:$U$201,MATCH($O30,'Project Plan'!$V$2:$V$201,0)))</f>
        <v/>
      </c>
      <c r="O30" s="45" t="str">
        <f>IF(ROW()-1&lt;=MAX('Project Plan'!$V$2:$V$201),ROW()-1,"")</f>
        <v/>
      </c>
    </row>
    <row r="31" spans="1:15" ht="13.9" customHeight="1" x14ac:dyDescent="0.25">
      <c r="A31" s="93" t="str">
        <f>IF($O31="","",INDEX('Project Plan'!$A$2:$A$201,MATCH($O31,'Project Plan'!$V$2:$V$201,0)))</f>
        <v/>
      </c>
      <c r="B31" s="45" t="str">
        <f>IF($O31="","",INDEX('Project Plan'!$B$2:$B$201,MATCH($O31,'Project Plan'!$V$2:$V$201,0)))</f>
        <v/>
      </c>
      <c r="C31" s="45" t="str">
        <f>IF($O31="","",INDEX('Project Plan'!$C$2:$C$201,MATCH($O31,'Project Plan'!$V$2:$V$201,0)))</f>
        <v/>
      </c>
      <c r="D31" s="45" t="str">
        <f>IF($O31="","",INDEX('Project Plan'!$D$2:$D$201,MATCH($O31,'Project Plan'!$V$2:$V$201,0)))</f>
        <v/>
      </c>
      <c r="E31" s="45" t="str">
        <f>IF($O31="","",INDEX('Project Plan'!$G$2:$G$201,MATCH($O31,'Project Plan'!$V$2:$V$201,0)))</f>
        <v/>
      </c>
      <c r="F31" s="46" t="str">
        <f>IF($O31="","",INDEX('Project Plan'!$I$2:$I$201,MATCH($O31,'Project Plan'!$V$2:$V$201,0)))</f>
        <v/>
      </c>
      <c r="G31" s="46" t="str">
        <f>IF($O31="","",INDEX('Project Plan'!$J$2:$J$201,MATCH($O31,'Project Plan'!$V$2:$V$201,0)))</f>
        <v/>
      </c>
      <c r="H31" s="46" t="str">
        <f>IF($O31="","",INDEX('Project Plan'!$M$2:$M$201,MATCH($O31,'Project Plan'!$V$2:$V$201,0)))</f>
        <v/>
      </c>
      <c r="I31" s="45" t="str">
        <f>IF($O31="","",INDEX('Project Plan'!$N$2:$N$201,MATCH($O31,'Project Plan'!$V$2:$V$201,0)))</f>
        <v/>
      </c>
      <c r="J31" s="47" t="str">
        <f>IF($O31="","",INDEX('Project Plan'!$O$2:$O$201,MATCH($O31,'Project Plan'!$V$2:$V$201,0)))</f>
        <v/>
      </c>
      <c r="K31" s="46" t="str">
        <f>IF($O31="","",INDEX('Project Plan'!$R$2:$R$201,MATCH($O31,'Project Plan'!$V$2:$V$201,0)))</f>
        <v/>
      </c>
      <c r="L31" s="38" t="str">
        <f>IF($O31="","",INDEX('Project Plan'!$S$2:$S$201,MATCH($O31,'Project Plan'!$V$2:$V$201,0)))</f>
        <v/>
      </c>
      <c r="M31" s="38" t="str">
        <f>IF($O31="","",INDEX('Project Plan'!$T$2:$T$201,MATCH($O31,'Project Plan'!$V$2:$V$201,0)))</f>
        <v/>
      </c>
      <c r="N31" s="94" t="str">
        <f>IF($O31="","",INDEX('Project Plan'!$U$2:$U$201,MATCH($O31,'Project Plan'!$V$2:$V$201,0)))</f>
        <v/>
      </c>
      <c r="O31" s="45" t="str">
        <f>IF(ROW()-1&lt;=MAX('Project Plan'!$V$2:$V$201),ROW()-1,"")</f>
        <v/>
      </c>
    </row>
    <row r="32" spans="1:15" ht="13.9" customHeight="1" x14ac:dyDescent="0.25">
      <c r="A32" s="93" t="str">
        <f>IF($O32="","",INDEX('Project Plan'!$A$2:$A$201,MATCH($O32,'Project Plan'!$V$2:$V$201,0)))</f>
        <v/>
      </c>
      <c r="B32" s="45" t="str">
        <f>IF($O32="","",INDEX('Project Plan'!$B$2:$B$201,MATCH($O32,'Project Plan'!$V$2:$V$201,0)))</f>
        <v/>
      </c>
      <c r="C32" s="45" t="str">
        <f>IF($O32="","",INDEX('Project Plan'!$C$2:$C$201,MATCH($O32,'Project Plan'!$V$2:$V$201,0)))</f>
        <v/>
      </c>
      <c r="D32" s="45" t="str">
        <f>IF($O32="","",INDEX('Project Plan'!$D$2:$D$201,MATCH($O32,'Project Plan'!$V$2:$V$201,0)))</f>
        <v/>
      </c>
      <c r="E32" s="45" t="str">
        <f>IF($O32="","",INDEX('Project Plan'!$G$2:$G$201,MATCH($O32,'Project Plan'!$V$2:$V$201,0)))</f>
        <v/>
      </c>
      <c r="F32" s="46" t="str">
        <f>IF($O32="","",INDEX('Project Plan'!$I$2:$I$201,MATCH($O32,'Project Plan'!$V$2:$V$201,0)))</f>
        <v/>
      </c>
      <c r="G32" s="46" t="str">
        <f>IF($O32="","",INDEX('Project Plan'!$J$2:$J$201,MATCH($O32,'Project Plan'!$V$2:$V$201,0)))</f>
        <v/>
      </c>
      <c r="H32" s="46" t="str">
        <f>IF($O32="","",INDEX('Project Plan'!$M$2:$M$201,MATCH($O32,'Project Plan'!$V$2:$V$201,0)))</f>
        <v/>
      </c>
      <c r="I32" s="45" t="str">
        <f>IF($O32="","",INDEX('Project Plan'!$N$2:$N$201,MATCH($O32,'Project Plan'!$V$2:$V$201,0)))</f>
        <v/>
      </c>
      <c r="J32" s="47" t="str">
        <f>IF($O32="","",INDEX('Project Plan'!$O$2:$O$201,MATCH($O32,'Project Plan'!$V$2:$V$201,0)))</f>
        <v/>
      </c>
      <c r="K32" s="46" t="str">
        <f>IF($O32="","",INDEX('Project Plan'!$R$2:$R$201,MATCH($O32,'Project Plan'!$V$2:$V$201,0)))</f>
        <v/>
      </c>
      <c r="L32" s="38" t="str">
        <f>IF($O32="","",INDEX('Project Plan'!$S$2:$S$201,MATCH($O32,'Project Plan'!$V$2:$V$201,0)))</f>
        <v/>
      </c>
      <c r="M32" s="38" t="str">
        <f>IF($O32="","",INDEX('Project Plan'!$T$2:$T$201,MATCH($O32,'Project Plan'!$V$2:$V$201,0)))</f>
        <v/>
      </c>
      <c r="N32" s="94" t="str">
        <f>IF($O32="","",INDEX('Project Plan'!$U$2:$U$201,MATCH($O32,'Project Plan'!$V$2:$V$201,0)))</f>
        <v/>
      </c>
      <c r="O32" s="45" t="str">
        <f>IF(ROW()-1&lt;=MAX('Project Plan'!$V$2:$V$201),ROW()-1,"")</f>
        <v/>
      </c>
    </row>
    <row r="33" spans="1:15" ht="13.9" customHeight="1" x14ac:dyDescent="0.25">
      <c r="A33" s="93" t="str">
        <f>IF($O33="","",INDEX('Project Plan'!$A$2:$A$201,MATCH($O33,'Project Plan'!$V$2:$V$201,0)))</f>
        <v/>
      </c>
      <c r="B33" s="45" t="str">
        <f>IF($O33="","",INDEX('Project Plan'!$B$2:$B$201,MATCH($O33,'Project Plan'!$V$2:$V$201,0)))</f>
        <v/>
      </c>
      <c r="C33" s="45" t="str">
        <f>IF($O33="","",INDEX('Project Plan'!$C$2:$C$201,MATCH($O33,'Project Plan'!$V$2:$V$201,0)))</f>
        <v/>
      </c>
      <c r="D33" s="45" t="str">
        <f>IF($O33="","",INDEX('Project Plan'!$D$2:$D$201,MATCH($O33,'Project Plan'!$V$2:$V$201,0)))</f>
        <v/>
      </c>
      <c r="E33" s="45" t="str">
        <f>IF($O33="","",INDEX('Project Plan'!$G$2:$G$201,MATCH($O33,'Project Plan'!$V$2:$V$201,0)))</f>
        <v/>
      </c>
      <c r="F33" s="46" t="str">
        <f>IF($O33="","",INDEX('Project Plan'!$I$2:$I$201,MATCH($O33,'Project Plan'!$V$2:$V$201,0)))</f>
        <v/>
      </c>
      <c r="G33" s="46" t="str">
        <f>IF($O33="","",INDEX('Project Plan'!$J$2:$J$201,MATCH($O33,'Project Plan'!$V$2:$V$201,0)))</f>
        <v/>
      </c>
      <c r="H33" s="46" t="str">
        <f>IF($O33="","",INDEX('Project Plan'!$M$2:$M$201,MATCH($O33,'Project Plan'!$V$2:$V$201,0)))</f>
        <v/>
      </c>
      <c r="I33" s="45" t="str">
        <f>IF($O33="","",INDEX('Project Plan'!$N$2:$N$201,MATCH($O33,'Project Plan'!$V$2:$V$201,0)))</f>
        <v/>
      </c>
      <c r="J33" s="47" t="str">
        <f>IF($O33="","",INDEX('Project Plan'!$O$2:$O$201,MATCH($O33,'Project Plan'!$V$2:$V$201,0)))</f>
        <v/>
      </c>
      <c r="K33" s="46" t="str">
        <f>IF($O33="","",INDEX('Project Plan'!$R$2:$R$201,MATCH($O33,'Project Plan'!$V$2:$V$201,0)))</f>
        <v/>
      </c>
      <c r="L33" s="38" t="str">
        <f>IF($O33="","",INDEX('Project Plan'!$S$2:$S$201,MATCH($O33,'Project Plan'!$V$2:$V$201,0)))</f>
        <v/>
      </c>
      <c r="M33" s="38" t="str">
        <f>IF($O33="","",INDEX('Project Plan'!$T$2:$T$201,MATCH($O33,'Project Plan'!$V$2:$V$201,0)))</f>
        <v/>
      </c>
      <c r="N33" s="94" t="str">
        <f>IF($O33="","",INDEX('Project Plan'!$U$2:$U$201,MATCH($O33,'Project Plan'!$V$2:$V$201,0)))</f>
        <v/>
      </c>
      <c r="O33" s="45" t="str">
        <f>IF(ROW()-1&lt;=MAX('Project Plan'!$V$2:$V$201),ROW()-1,"")</f>
        <v/>
      </c>
    </row>
    <row r="34" spans="1:15" ht="13.9" customHeight="1" x14ac:dyDescent="0.25">
      <c r="A34" s="93" t="str">
        <f>IF($O34="","",INDEX('Project Plan'!$A$2:$A$201,MATCH($O34,'Project Plan'!$V$2:$V$201,0)))</f>
        <v/>
      </c>
      <c r="B34" s="45" t="str">
        <f>IF($O34="","",INDEX('Project Plan'!$B$2:$B$201,MATCH($O34,'Project Plan'!$V$2:$V$201,0)))</f>
        <v/>
      </c>
      <c r="C34" s="45" t="str">
        <f>IF($O34="","",INDEX('Project Plan'!$C$2:$C$201,MATCH($O34,'Project Plan'!$V$2:$V$201,0)))</f>
        <v/>
      </c>
      <c r="D34" s="45" t="str">
        <f>IF($O34="","",INDEX('Project Plan'!$D$2:$D$201,MATCH($O34,'Project Plan'!$V$2:$V$201,0)))</f>
        <v/>
      </c>
      <c r="E34" s="45" t="str">
        <f>IF($O34="","",INDEX('Project Plan'!$G$2:$G$201,MATCH($O34,'Project Plan'!$V$2:$V$201,0)))</f>
        <v/>
      </c>
      <c r="F34" s="46" t="str">
        <f>IF($O34="","",INDEX('Project Plan'!$I$2:$I$201,MATCH($O34,'Project Plan'!$V$2:$V$201,0)))</f>
        <v/>
      </c>
      <c r="G34" s="46" t="str">
        <f>IF($O34="","",INDEX('Project Plan'!$J$2:$J$201,MATCH($O34,'Project Plan'!$V$2:$V$201,0)))</f>
        <v/>
      </c>
      <c r="H34" s="46" t="str">
        <f>IF($O34="","",INDEX('Project Plan'!$M$2:$M$201,MATCH($O34,'Project Plan'!$V$2:$V$201,0)))</f>
        <v/>
      </c>
      <c r="I34" s="45" t="str">
        <f>IF($O34="","",INDEX('Project Plan'!$N$2:$N$201,MATCH($O34,'Project Plan'!$V$2:$V$201,0)))</f>
        <v/>
      </c>
      <c r="J34" s="47" t="str">
        <f>IF($O34="","",INDEX('Project Plan'!$O$2:$O$201,MATCH($O34,'Project Plan'!$V$2:$V$201,0)))</f>
        <v/>
      </c>
      <c r="K34" s="46" t="str">
        <f>IF($O34="","",INDEX('Project Plan'!$R$2:$R$201,MATCH($O34,'Project Plan'!$V$2:$V$201,0)))</f>
        <v/>
      </c>
      <c r="L34" s="38" t="str">
        <f>IF($O34="","",INDEX('Project Plan'!$S$2:$S$201,MATCH($O34,'Project Plan'!$V$2:$V$201,0)))</f>
        <v/>
      </c>
      <c r="M34" s="38" t="str">
        <f>IF($O34="","",INDEX('Project Plan'!$T$2:$T$201,MATCH($O34,'Project Plan'!$V$2:$V$201,0)))</f>
        <v/>
      </c>
      <c r="N34" s="94" t="str">
        <f>IF($O34="","",INDEX('Project Plan'!$U$2:$U$201,MATCH($O34,'Project Plan'!$V$2:$V$201,0)))</f>
        <v/>
      </c>
      <c r="O34" s="45" t="str">
        <f>IF(ROW()-1&lt;=MAX('Project Plan'!$V$2:$V$201),ROW()-1,"")</f>
        <v/>
      </c>
    </row>
    <row r="35" spans="1:15" ht="13.9" customHeight="1" x14ac:dyDescent="0.25">
      <c r="A35" s="93" t="str">
        <f>IF($O35="","",INDEX('Project Plan'!$A$2:$A$201,MATCH($O35,'Project Plan'!$V$2:$V$201,0)))</f>
        <v/>
      </c>
      <c r="B35" s="45" t="str">
        <f>IF($O35="","",INDEX('Project Plan'!$B$2:$B$201,MATCH($O35,'Project Plan'!$V$2:$V$201,0)))</f>
        <v/>
      </c>
      <c r="C35" s="45" t="str">
        <f>IF($O35="","",INDEX('Project Plan'!$C$2:$C$201,MATCH($O35,'Project Plan'!$V$2:$V$201,0)))</f>
        <v/>
      </c>
      <c r="D35" s="45" t="str">
        <f>IF($O35="","",INDEX('Project Plan'!$D$2:$D$201,MATCH($O35,'Project Plan'!$V$2:$V$201,0)))</f>
        <v/>
      </c>
      <c r="E35" s="45" t="str">
        <f>IF($O35="","",INDEX('Project Plan'!$G$2:$G$201,MATCH($O35,'Project Plan'!$V$2:$V$201,0)))</f>
        <v/>
      </c>
      <c r="F35" s="46" t="str">
        <f>IF($O35="","",INDEX('Project Plan'!$I$2:$I$201,MATCH($O35,'Project Plan'!$V$2:$V$201,0)))</f>
        <v/>
      </c>
      <c r="G35" s="46" t="str">
        <f>IF($O35="","",INDEX('Project Plan'!$J$2:$J$201,MATCH($O35,'Project Plan'!$V$2:$V$201,0)))</f>
        <v/>
      </c>
      <c r="H35" s="46" t="str">
        <f>IF($O35="","",INDEX('Project Plan'!$M$2:$M$201,MATCH($O35,'Project Plan'!$V$2:$V$201,0)))</f>
        <v/>
      </c>
      <c r="I35" s="45" t="str">
        <f>IF($O35="","",INDEX('Project Plan'!$N$2:$N$201,MATCH($O35,'Project Plan'!$V$2:$V$201,0)))</f>
        <v/>
      </c>
      <c r="J35" s="47" t="str">
        <f>IF($O35="","",INDEX('Project Plan'!$O$2:$O$201,MATCH($O35,'Project Plan'!$V$2:$V$201,0)))</f>
        <v/>
      </c>
      <c r="K35" s="46" t="str">
        <f>IF($O35="","",INDEX('Project Plan'!$R$2:$R$201,MATCH($O35,'Project Plan'!$V$2:$V$201,0)))</f>
        <v/>
      </c>
      <c r="L35" s="38" t="str">
        <f>IF($O35="","",INDEX('Project Plan'!$S$2:$S$201,MATCH($O35,'Project Plan'!$V$2:$V$201,0)))</f>
        <v/>
      </c>
      <c r="M35" s="38" t="str">
        <f>IF($O35="","",INDEX('Project Plan'!$T$2:$T$201,MATCH($O35,'Project Plan'!$V$2:$V$201,0)))</f>
        <v/>
      </c>
      <c r="N35" s="94" t="str">
        <f>IF($O35="","",INDEX('Project Plan'!$U$2:$U$201,MATCH($O35,'Project Plan'!$V$2:$V$201,0)))</f>
        <v/>
      </c>
      <c r="O35" s="45" t="str">
        <f>IF(ROW()-1&lt;=MAX('Project Plan'!$V$2:$V$201),ROW()-1,"")</f>
        <v/>
      </c>
    </row>
    <row r="36" spans="1:15" ht="13.9" customHeight="1" x14ac:dyDescent="0.25">
      <c r="A36" s="93" t="str">
        <f>IF($O36="","",INDEX('Project Plan'!$A$2:$A$201,MATCH($O36,'Project Plan'!$V$2:$V$201,0)))</f>
        <v/>
      </c>
      <c r="B36" s="45" t="str">
        <f>IF($O36="","",INDEX('Project Plan'!$B$2:$B$201,MATCH($O36,'Project Plan'!$V$2:$V$201,0)))</f>
        <v/>
      </c>
      <c r="C36" s="45" t="str">
        <f>IF($O36="","",INDEX('Project Plan'!$C$2:$C$201,MATCH($O36,'Project Plan'!$V$2:$V$201,0)))</f>
        <v/>
      </c>
      <c r="D36" s="45" t="str">
        <f>IF($O36="","",INDEX('Project Plan'!$D$2:$D$201,MATCH($O36,'Project Plan'!$V$2:$V$201,0)))</f>
        <v/>
      </c>
      <c r="E36" s="45" t="str">
        <f>IF($O36="","",INDEX('Project Plan'!$G$2:$G$201,MATCH($O36,'Project Plan'!$V$2:$V$201,0)))</f>
        <v/>
      </c>
      <c r="F36" s="46" t="str">
        <f>IF($O36="","",INDEX('Project Plan'!$I$2:$I$201,MATCH($O36,'Project Plan'!$V$2:$V$201,0)))</f>
        <v/>
      </c>
      <c r="G36" s="46" t="str">
        <f>IF($O36="","",INDEX('Project Plan'!$J$2:$J$201,MATCH($O36,'Project Plan'!$V$2:$V$201,0)))</f>
        <v/>
      </c>
      <c r="H36" s="46" t="str">
        <f>IF($O36="","",INDEX('Project Plan'!$M$2:$M$201,MATCH($O36,'Project Plan'!$V$2:$V$201,0)))</f>
        <v/>
      </c>
      <c r="I36" s="45" t="str">
        <f>IF($O36="","",INDEX('Project Plan'!$N$2:$N$201,MATCH($O36,'Project Plan'!$V$2:$V$201,0)))</f>
        <v/>
      </c>
      <c r="J36" s="47" t="str">
        <f>IF($O36="","",INDEX('Project Plan'!$O$2:$O$201,MATCH($O36,'Project Plan'!$V$2:$V$201,0)))</f>
        <v/>
      </c>
      <c r="K36" s="46" t="str">
        <f>IF($O36="","",INDEX('Project Plan'!$R$2:$R$201,MATCH($O36,'Project Plan'!$V$2:$V$201,0)))</f>
        <v/>
      </c>
      <c r="L36" s="38" t="str">
        <f>IF($O36="","",INDEX('Project Plan'!$S$2:$S$201,MATCH($O36,'Project Plan'!$V$2:$V$201,0)))</f>
        <v/>
      </c>
      <c r="M36" s="38" t="str">
        <f>IF($O36="","",INDEX('Project Plan'!$T$2:$T$201,MATCH($O36,'Project Plan'!$V$2:$V$201,0)))</f>
        <v/>
      </c>
      <c r="N36" s="94" t="str">
        <f>IF($O36="","",INDEX('Project Plan'!$U$2:$U$201,MATCH($O36,'Project Plan'!$V$2:$V$201,0)))</f>
        <v/>
      </c>
      <c r="O36" s="45" t="str">
        <f>IF(ROW()-1&lt;=MAX('Project Plan'!$V$2:$V$201),ROW()-1,"")</f>
        <v/>
      </c>
    </row>
    <row r="37" spans="1:15" ht="13.9" customHeight="1" x14ac:dyDescent="0.25">
      <c r="A37" s="93" t="str">
        <f>IF($O37="","",INDEX('Project Plan'!$A$2:$A$201,MATCH($O37,'Project Plan'!$V$2:$V$201,0)))</f>
        <v/>
      </c>
      <c r="B37" s="45" t="str">
        <f>IF($O37="","",INDEX('Project Plan'!$B$2:$B$201,MATCH($O37,'Project Plan'!$V$2:$V$201,0)))</f>
        <v/>
      </c>
      <c r="C37" s="45" t="str">
        <f>IF($O37="","",INDEX('Project Plan'!$C$2:$C$201,MATCH($O37,'Project Plan'!$V$2:$V$201,0)))</f>
        <v/>
      </c>
      <c r="D37" s="45" t="str">
        <f>IF($O37="","",INDEX('Project Plan'!$D$2:$D$201,MATCH($O37,'Project Plan'!$V$2:$V$201,0)))</f>
        <v/>
      </c>
      <c r="E37" s="45" t="str">
        <f>IF($O37="","",INDEX('Project Plan'!$G$2:$G$201,MATCH($O37,'Project Plan'!$V$2:$V$201,0)))</f>
        <v/>
      </c>
      <c r="F37" s="46" t="str">
        <f>IF($O37="","",INDEX('Project Plan'!$I$2:$I$201,MATCH($O37,'Project Plan'!$V$2:$V$201,0)))</f>
        <v/>
      </c>
      <c r="G37" s="46" t="str">
        <f>IF($O37="","",INDEX('Project Plan'!$J$2:$J$201,MATCH($O37,'Project Plan'!$V$2:$V$201,0)))</f>
        <v/>
      </c>
      <c r="H37" s="46" t="str">
        <f>IF($O37="","",INDEX('Project Plan'!$M$2:$M$201,MATCH($O37,'Project Plan'!$V$2:$V$201,0)))</f>
        <v/>
      </c>
      <c r="I37" s="45" t="str">
        <f>IF($O37="","",INDEX('Project Plan'!$N$2:$N$201,MATCH($O37,'Project Plan'!$V$2:$V$201,0)))</f>
        <v/>
      </c>
      <c r="J37" s="47" t="str">
        <f>IF($O37="","",INDEX('Project Plan'!$O$2:$O$201,MATCH($O37,'Project Plan'!$V$2:$V$201,0)))</f>
        <v/>
      </c>
      <c r="K37" s="46" t="str">
        <f>IF($O37="","",INDEX('Project Plan'!$R$2:$R$201,MATCH($O37,'Project Plan'!$V$2:$V$201,0)))</f>
        <v/>
      </c>
      <c r="L37" s="38" t="str">
        <f>IF($O37="","",INDEX('Project Plan'!$S$2:$S$201,MATCH($O37,'Project Plan'!$V$2:$V$201,0)))</f>
        <v/>
      </c>
      <c r="M37" s="38" t="str">
        <f>IF($O37="","",INDEX('Project Plan'!$T$2:$T$201,MATCH($O37,'Project Plan'!$V$2:$V$201,0)))</f>
        <v/>
      </c>
      <c r="N37" s="94" t="str">
        <f>IF($O37="","",INDEX('Project Plan'!$U$2:$U$201,MATCH($O37,'Project Plan'!$V$2:$V$201,0)))</f>
        <v/>
      </c>
      <c r="O37" s="45" t="str">
        <f>IF(ROW()-1&lt;=MAX('Project Plan'!$V$2:$V$201),ROW()-1,"")</f>
        <v/>
      </c>
    </row>
    <row r="38" spans="1:15" ht="13.9" customHeight="1" x14ac:dyDescent="0.25">
      <c r="A38" s="93" t="str">
        <f>IF($O38="","",INDEX('Project Plan'!$A$2:$A$201,MATCH($O38,'Project Plan'!$V$2:$V$201,0)))</f>
        <v/>
      </c>
      <c r="B38" s="45" t="str">
        <f>IF($O38="","",INDEX('Project Plan'!$B$2:$B$201,MATCH($O38,'Project Plan'!$V$2:$V$201,0)))</f>
        <v/>
      </c>
      <c r="C38" s="45" t="str">
        <f>IF($O38="","",INDEX('Project Plan'!$C$2:$C$201,MATCH($O38,'Project Plan'!$V$2:$V$201,0)))</f>
        <v/>
      </c>
      <c r="D38" s="45" t="str">
        <f>IF($O38="","",INDEX('Project Plan'!$D$2:$D$201,MATCH($O38,'Project Plan'!$V$2:$V$201,0)))</f>
        <v/>
      </c>
      <c r="E38" s="45" t="str">
        <f>IF($O38="","",INDEX('Project Plan'!$G$2:$G$201,MATCH($O38,'Project Plan'!$V$2:$V$201,0)))</f>
        <v/>
      </c>
      <c r="F38" s="46" t="str">
        <f>IF($O38="","",INDEX('Project Plan'!$I$2:$I$201,MATCH($O38,'Project Plan'!$V$2:$V$201,0)))</f>
        <v/>
      </c>
      <c r="G38" s="46" t="str">
        <f>IF($O38="","",INDEX('Project Plan'!$J$2:$J$201,MATCH($O38,'Project Plan'!$V$2:$V$201,0)))</f>
        <v/>
      </c>
      <c r="H38" s="46" t="str">
        <f>IF($O38="","",INDEX('Project Plan'!$M$2:$M$201,MATCH($O38,'Project Plan'!$V$2:$V$201,0)))</f>
        <v/>
      </c>
      <c r="I38" s="45" t="str">
        <f>IF($O38="","",INDEX('Project Plan'!$N$2:$N$201,MATCH($O38,'Project Plan'!$V$2:$V$201,0)))</f>
        <v/>
      </c>
      <c r="J38" s="47" t="str">
        <f>IF($O38="","",INDEX('Project Plan'!$O$2:$O$201,MATCH($O38,'Project Plan'!$V$2:$V$201,0)))</f>
        <v/>
      </c>
      <c r="K38" s="46" t="str">
        <f>IF($O38="","",INDEX('Project Plan'!$R$2:$R$201,MATCH($O38,'Project Plan'!$V$2:$V$201,0)))</f>
        <v/>
      </c>
      <c r="L38" s="38" t="str">
        <f>IF($O38="","",INDEX('Project Plan'!$S$2:$S$201,MATCH($O38,'Project Plan'!$V$2:$V$201,0)))</f>
        <v/>
      </c>
      <c r="M38" s="38" t="str">
        <f>IF($O38="","",INDEX('Project Plan'!$T$2:$T$201,MATCH($O38,'Project Plan'!$V$2:$V$201,0)))</f>
        <v/>
      </c>
      <c r="N38" s="94" t="str">
        <f>IF($O38="","",INDEX('Project Plan'!$U$2:$U$201,MATCH($O38,'Project Plan'!$V$2:$V$201,0)))</f>
        <v/>
      </c>
      <c r="O38" s="45" t="str">
        <f>IF(ROW()-1&lt;=MAX('Project Plan'!$V$2:$V$201),ROW()-1,"")</f>
        <v/>
      </c>
    </row>
    <row r="39" spans="1:15" ht="13.9" customHeight="1" x14ac:dyDescent="0.25">
      <c r="A39" s="93" t="str">
        <f>IF($O39="","",INDEX('Project Plan'!$A$2:$A$201,MATCH($O39,'Project Plan'!$V$2:$V$201,0)))</f>
        <v/>
      </c>
      <c r="B39" s="45" t="str">
        <f>IF($O39="","",INDEX('Project Plan'!$B$2:$B$201,MATCH($O39,'Project Plan'!$V$2:$V$201,0)))</f>
        <v/>
      </c>
      <c r="C39" s="45" t="str">
        <f>IF($O39="","",INDEX('Project Plan'!$C$2:$C$201,MATCH($O39,'Project Plan'!$V$2:$V$201,0)))</f>
        <v/>
      </c>
      <c r="D39" s="45" t="str">
        <f>IF($O39="","",INDEX('Project Plan'!$D$2:$D$201,MATCH($O39,'Project Plan'!$V$2:$V$201,0)))</f>
        <v/>
      </c>
      <c r="E39" s="45" t="str">
        <f>IF($O39="","",INDEX('Project Plan'!$G$2:$G$201,MATCH($O39,'Project Plan'!$V$2:$V$201,0)))</f>
        <v/>
      </c>
      <c r="F39" s="46" t="str">
        <f>IF($O39="","",INDEX('Project Plan'!$I$2:$I$201,MATCH($O39,'Project Plan'!$V$2:$V$201,0)))</f>
        <v/>
      </c>
      <c r="G39" s="46" t="str">
        <f>IF($O39="","",INDEX('Project Plan'!$J$2:$J$201,MATCH($O39,'Project Plan'!$V$2:$V$201,0)))</f>
        <v/>
      </c>
      <c r="H39" s="46" t="str">
        <f>IF($O39="","",INDEX('Project Plan'!$M$2:$M$201,MATCH($O39,'Project Plan'!$V$2:$V$201,0)))</f>
        <v/>
      </c>
      <c r="I39" s="45" t="str">
        <f>IF($O39="","",INDEX('Project Plan'!$N$2:$N$201,MATCH($O39,'Project Plan'!$V$2:$V$201,0)))</f>
        <v/>
      </c>
      <c r="J39" s="47" t="str">
        <f>IF($O39="","",INDEX('Project Plan'!$O$2:$O$201,MATCH($O39,'Project Plan'!$V$2:$V$201,0)))</f>
        <v/>
      </c>
      <c r="K39" s="46" t="str">
        <f>IF($O39="","",INDEX('Project Plan'!$R$2:$R$201,MATCH($O39,'Project Plan'!$V$2:$V$201,0)))</f>
        <v/>
      </c>
      <c r="L39" s="38" t="str">
        <f>IF($O39="","",INDEX('Project Plan'!$S$2:$S$201,MATCH($O39,'Project Plan'!$V$2:$V$201,0)))</f>
        <v/>
      </c>
      <c r="M39" s="38" t="str">
        <f>IF($O39="","",INDEX('Project Plan'!$T$2:$T$201,MATCH($O39,'Project Plan'!$V$2:$V$201,0)))</f>
        <v/>
      </c>
      <c r="N39" s="94" t="str">
        <f>IF($O39="","",INDEX('Project Plan'!$U$2:$U$201,MATCH($O39,'Project Plan'!$V$2:$V$201,0)))</f>
        <v/>
      </c>
      <c r="O39" s="45" t="str">
        <f>IF(ROW()-1&lt;=MAX('Project Plan'!$V$2:$V$201),ROW()-1,"")</f>
        <v/>
      </c>
    </row>
    <row r="40" spans="1:15" ht="13.9" customHeight="1" x14ac:dyDescent="0.25">
      <c r="A40" s="93" t="str">
        <f>IF($O40="","",INDEX('Project Plan'!$A$2:$A$201,MATCH($O40,'Project Plan'!$V$2:$V$201,0)))</f>
        <v/>
      </c>
      <c r="B40" s="45" t="str">
        <f>IF($O40="","",INDEX('Project Plan'!$B$2:$B$201,MATCH($O40,'Project Plan'!$V$2:$V$201,0)))</f>
        <v/>
      </c>
      <c r="C40" s="45" t="str">
        <f>IF($O40="","",INDEX('Project Plan'!$C$2:$C$201,MATCH($O40,'Project Plan'!$V$2:$V$201,0)))</f>
        <v/>
      </c>
      <c r="D40" s="45" t="str">
        <f>IF($O40="","",INDEX('Project Plan'!$D$2:$D$201,MATCH($O40,'Project Plan'!$V$2:$V$201,0)))</f>
        <v/>
      </c>
      <c r="E40" s="45" t="str">
        <f>IF($O40="","",INDEX('Project Plan'!$G$2:$G$201,MATCH($O40,'Project Plan'!$V$2:$V$201,0)))</f>
        <v/>
      </c>
      <c r="F40" s="46" t="str">
        <f>IF($O40="","",INDEX('Project Plan'!$I$2:$I$201,MATCH($O40,'Project Plan'!$V$2:$V$201,0)))</f>
        <v/>
      </c>
      <c r="G40" s="46" t="str">
        <f>IF($O40="","",INDEX('Project Plan'!$J$2:$J$201,MATCH($O40,'Project Plan'!$V$2:$V$201,0)))</f>
        <v/>
      </c>
      <c r="H40" s="46" t="str">
        <f>IF($O40="","",INDEX('Project Plan'!$M$2:$M$201,MATCH($O40,'Project Plan'!$V$2:$V$201,0)))</f>
        <v/>
      </c>
      <c r="I40" s="45" t="str">
        <f>IF($O40="","",INDEX('Project Plan'!$N$2:$N$201,MATCH($O40,'Project Plan'!$V$2:$V$201,0)))</f>
        <v/>
      </c>
      <c r="J40" s="47" t="str">
        <f>IF($O40="","",INDEX('Project Plan'!$O$2:$O$201,MATCH($O40,'Project Plan'!$V$2:$V$201,0)))</f>
        <v/>
      </c>
      <c r="K40" s="46" t="str">
        <f>IF($O40="","",INDEX('Project Plan'!$R$2:$R$201,MATCH($O40,'Project Plan'!$V$2:$V$201,0)))</f>
        <v/>
      </c>
      <c r="L40" s="38" t="str">
        <f>IF($O40="","",INDEX('Project Plan'!$S$2:$S$201,MATCH($O40,'Project Plan'!$V$2:$V$201,0)))</f>
        <v/>
      </c>
      <c r="M40" s="38" t="str">
        <f>IF($O40="","",INDEX('Project Plan'!$T$2:$T$201,MATCH($O40,'Project Plan'!$V$2:$V$201,0)))</f>
        <v/>
      </c>
      <c r="N40" s="94" t="str">
        <f>IF($O40="","",INDEX('Project Plan'!$U$2:$U$201,MATCH($O40,'Project Plan'!$V$2:$V$201,0)))</f>
        <v/>
      </c>
      <c r="O40" s="45" t="str">
        <f>IF(ROW()-1&lt;=MAX('Project Plan'!$V$2:$V$201),ROW()-1,"")</f>
        <v/>
      </c>
    </row>
    <row r="41" spans="1:15" ht="13.9" customHeight="1" x14ac:dyDescent="0.25">
      <c r="A41" s="93" t="str">
        <f>IF($O41="","",INDEX('Project Plan'!$A$2:$A$201,MATCH($O41,'Project Plan'!$V$2:$V$201,0)))</f>
        <v/>
      </c>
      <c r="B41" s="45" t="str">
        <f>IF($O41="","",INDEX('Project Plan'!$B$2:$B$201,MATCH($O41,'Project Plan'!$V$2:$V$201,0)))</f>
        <v/>
      </c>
      <c r="C41" s="45" t="str">
        <f>IF($O41="","",INDEX('Project Plan'!$C$2:$C$201,MATCH($O41,'Project Plan'!$V$2:$V$201,0)))</f>
        <v/>
      </c>
      <c r="D41" s="45" t="str">
        <f>IF($O41="","",INDEX('Project Plan'!$D$2:$D$201,MATCH($O41,'Project Plan'!$V$2:$V$201,0)))</f>
        <v/>
      </c>
      <c r="E41" s="45" t="str">
        <f>IF($O41="","",INDEX('Project Plan'!$G$2:$G$201,MATCH($O41,'Project Plan'!$V$2:$V$201,0)))</f>
        <v/>
      </c>
      <c r="F41" s="46" t="str">
        <f>IF($O41="","",INDEX('Project Plan'!$I$2:$I$201,MATCH($O41,'Project Plan'!$V$2:$V$201,0)))</f>
        <v/>
      </c>
      <c r="G41" s="46" t="str">
        <f>IF($O41="","",INDEX('Project Plan'!$J$2:$J$201,MATCH($O41,'Project Plan'!$V$2:$V$201,0)))</f>
        <v/>
      </c>
      <c r="H41" s="46" t="str">
        <f>IF($O41="","",INDEX('Project Plan'!$M$2:$M$201,MATCH($O41,'Project Plan'!$V$2:$V$201,0)))</f>
        <v/>
      </c>
      <c r="I41" s="45" t="str">
        <f>IF($O41="","",INDEX('Project Plan'!$N$2:$N$201,MATCH($O41,'Project Plan'!$V$2:$V$201,0)))</f>
        <v/>
      </c>
      <c r="J41" s="47" t="str">
        <f>IF($O41="","",INDEX('Project Plan'!$O$2:$O$201,MATCH($O41,'Project Plan'!$V$2:$V$201,0)))</f>
        <v/>
      </c>
      <c r="K41" s="46" t="str">
        <f>IF($O41="","",INDEX('Project Plan'!$R$2:$R$201,MATCH($O41,'Project Plan'!$V$2:$V$201,0)))</f>
        <v/>
      </c>
      <c r="L41" s="38" t="str">
        <f>IF($O41="","",INDEX('Project Plan'!$S$2:$S$201,MATCH($O41,'Project Plan'!$V$2:$V$201,0)))</f>
        <v/>
      </c>
      <c r="M41" s="38" t="str">
        <f>IF($O41="","",INDEX('Project Plan'!$T$2:$T$201,MATCH($O41,'Project Plan'!$V$2:$V$201,0)))</f>
        <v/>
      </c>
      <c r="N41" s="94" t="str">
        <f>IF($O41="","",INDEX('Project Plan'!$U$2:$U$201,MATCH($O41,'Project Plan'!$V$2:$V$201,0)))</f>
        <v/>
      </c>
      <c r="O41" s="45" t="str">
        <f>IF(ROW()-1&lt;=MAX('Project Plan'!$V$2:$V$201),ROW()-1,"")</f>
        <v/>
      </c>
    </row>
    <row r="42" spans="1:15" ht="13.9" customHeight="1" x14ac:dyDescent="0.25">
      <c r="A42" s="93" t="str">
        <f>IF($O42="","",INDEX('Project Plan'!$A$2:$A$201,MATCH($O42,'Project Plan'!$V$2:$V$201,0)))</f>
        <v/>
      </c>
      <c r="B42" s="45" t="str">
        <f>IF($O42="","",INDEX('Project Plan'!$B$2:$B$201,MATCH($O42,'Project Plan'!$V$2:$V$201,0)))</f>
        <v/>
      </c>
      <c r="C42" s="45" t="str">
        <f>IF($O42="","",INDEX('Project Plan'!$C$2:$C$201,MATCH($O42,'Project Plan'!$V$2:$V$201,0)))</f>
        <v/>
      </c>
      <c r="D42" s="45" t="str">
        <f>IF($O42="","",INDEX('Project Plan'!$D$2:$D$201,MATCH($O42,'Project Plan'!$V$2:$V$201,0)))</f>
        <v/>
      </c>
      <c r="E42" s="45" t="str">
        <f>IF($O42="","",INDEX('Project Plan'!$G$2:$G$201,MATCH($O42,'Project Plan'!$V$2:$V$201,0)))</f>
        <v/>
      </c>
      <c r="F42" s="46" t="str">
        <f>IF($O42="","",INDEX('Project Plan'!$I$2:$I$201,MATCH($O42,'Project Plan'!$V$2:$V$201,0)))</f>
        <v/>
      </c>
      <c r="G42" s="46" t="str">
        <f>IF($O42="","",INDEX('Project Plan'!$J$2:$J$201,MATCH($O42,'Project Plan'!$V$2:$V$201,0)))</f>
        <v/>
      </c>
      <c r="H42" s="46" t="str">
        <f>IF($O42="","",INDEX('Project Plan'!$M$2:$M$201,MATCH($O42,'Project Plan'!$V$2:$V$201,0)))</f>
        <v/>
      </c>
      <c r="I42" s="45" t="str">
        <f>IF($O42="","",INDEX('Project Plan'!$N$2:$N$201,MATCH($O42,'Project Plan'!$V$2:$V$201,0)))</f>
        <v/>
      </c>
      <c r="J42" s="47" t="str">
        <f>IF($O42="","",INDEX('Project Plan'!$O$2:$O$201,MATCH($O42,'Project Plan'!$V$2:$V$201,0)))</f>
        <v/>
      </c>
      <c r="K42" s="46" t="str">
        <f>IF($O42="","",INDEX('Project Plan'!$R$2:$R$201,MATCH($O42,'Project Plan'!$V$2:$V$201,0)))</f>
        <v/>
      </c>
      <c r="L42" s="38" t="str">
        <f>IF($O42="","",INDEX('Project Plan'!$S$2:$S$201,MATCH($O42,'Project Plan'!$V$2:$V$201,0)))</f>
        <v/>
      </c>
      <c r="M42" s="38" t="str">
        <f>IF($O42="","",INDEX('Project Plan'!$T$2:$T$201,MATCH($O42,'Project Plan'!$V$2:$V$201,0)))</f>
        <v/>
      </c>
      <c r="N42" s="94" t="str">
        <f>IF($O42="","",INDEX('Project Plan'!$U$2:$U$201,MATCH($O42,'Project Plan'!$V$2:$V$201,0)))</f>
        <v/>
      </c>
      <c r="O42" s="45" t="str">
        <f>IF(ROW()-1&lt;=MAX('Project Plan'!$V$2:$V$201),ROW()-1,"")</f>
        <v/>
      </c>
    </row>
    <row r="43" spans="1:15" ht="13.9" customHeight="1" x14ac:dyDescent="0.25">
      <c r="A43" s="93" t="str">
        <f>IF($O43="","",INDEX('Project Plan'!$A$2:$A$201,MATCH($O43,'Project Plan'!$V$2:$V$201,0)))</f>
        <v/>
      </c>
      <c r="B43" s="45" t="str">
        <f>IF($O43="","",INDEX('Project Plan'!$B$2:$B$201,MATCH($O43,'Project Plan'!$V$2:$V$201,0)))</f>
        <v/>
      </c>
      <c r="C43" s="45" t="str">
        <f>IF($O43="","",INDEX('Project Plan'!$C$2:$C$201,MATCH($O43,'Project Plan'!$V$2:$V$201,0)))</f>
        <v/>
      </c>
      <c r="D43" s="45" t="str">
        <f>IF($O43="","",INDEX('Project Plan'!$D$2:$D$201,MATCH($O43,'Project Plan'!$V$2:$V$201,0)))</f>
        <v/>
      </c>
      <c r="E43" s="45" t="str">
        <f>IF($O43="","",INDEX('Project Plan'!$G$2:$G$201,MATCH($O43,'Project Plan'!$V$2:$V$201,0)))</f>
        <v/>
      </c>
      <c r="F43" s="46" t="str">
        <f>IF($O43="","",INDEX('Project Plan'!$I$2:$I$201,MATCH($O43,'Project Plan'!$V$2:$V$201,0)))</f>
        <v/>
      </c>
      <c r="G43" s="46" t="str">
        <f>IF($O43="","",INDEX('Project Plan'!$J$2:$J$201,MATCH($O43,'Project Plan'!$V$2:$V$201,0)))</f>
        <v/>
      </c>
      <c r="H43" s="46" t="str">
        <f>IF($O43="","",INDEX('Project Plan'!$M$2:$M$201,MATCH($O43,'Project Plan'!$V$2:$V$201,0)))</f>
        <v/>
      </c>
      <c r="I43" s="45" t="str">
        <f>IF($O43="","",INDEX('Project Plan'!$N$2:$N$201,MATCH($O43,'Project Plan'!$V$2:$V$201,0)))</f>
        <v/>
      </c>
      <c r="J43" s="47" t="str">
        <f>IF($O43="","",INDEX('Project Plan'!$O$2:$O$201,MATCH($O43,'Project Plan'!$V$2:$V$201,0)))</f>
        <v/>
      </c>
      <c r="K43" s="46" t="str">
        <f>IF($O43="","",INDEX('Project Plan'!$R$2:$R$201,MATCH($O43,'Project Plan'!$V$2:$V$201,0)))</f>
        <v/>
      </c>
      <c r="L43" s="38" t="str">
        <f>IF($O43="","",INDEX('Project Plan'!$S$2:$S$201,MATCH($O43,'Project Plan'!$V$2:$V$201,0)))</f>
        <v/>
      </c>
      <c r="M43" s="38" t="str">
        <f>IF($O43="","",INDEX('Project Plan'!$T$2:$T$201,MATCH($O43,'Project Plan'!$V$2:$V$201,0)))</f>
        <v/>
      </c>
      <c r="N43" s="94" t="str">
        <f>IF($O43="","",INDEX('Project Plan'!$U$2:$U$201,MATCH($O43,'Project Plan'!$V$2:$V$201,0)))</f>
        <v/>
      </c>
      <c r="O43" s="45" t="str">
        <f>IF(ROW()-1&lt;=MAX('Project Plan'!$V$2:$V$201),ROW()-1,"")</f>
        <v/>
      </c>
    </row>
    <row r="44" spans="1:15" ht="13.9" customHeight="1" x14ac:dyDescent="0.25">
      <c r="A44" s="93" t="str">
        <f>IF($O44="","",INDEX('Project Plan'!$A$2:$A$201,MATCH($O44,'Project Plan'!$V$2:$V$201,0)))</f>
        <v/>
      </c>
      <c r="B44" s="45" t="str">
        <f>IF($O44="","",INDEX('Project Plan'!$B$2:$B$201,MATCH($O44,'Project Plan'!$V$2:$V$201,0)))</f>
        <v/>
      </c>
      <c r="C44" s="45" t="str">
        <f>IF($O44="","",INDEX('Project Plan'!$C$2:$C$201,MATCH($O44,'Project Plan'!$V$2:$V$201,0)))</f>
        <v/>
      </c>
      <c r="D44" s="45" t="str">
        <f>IF($O44="","",INDEX('Project Plan'!$D$2:$D$201,MATCH($O44,'Project Plan'!$V$2:$V$201,0)))</f>
        <v/>
      </c>
      <c r="E44" s="45" t="str">
        <f>IF($O44="","",INDEX('Project Plan'!$G$2:$G$201,MATCH($O44,'Project Plan'!$V$2:$V$201,0)))</f>
        <v/>
      </c>
      <c r="F44" s="46" t="str">
        <f>IF($O44="","",INDEX('Project Plan'!$I$2:$I$201,MATCH($O44,'Project Plan'!$V$2:$V$201,0)))</f>
        <v/>
      </c>
      <c r="G44" s="46" t="str">
        <f>IF($O44="","",INDEX('Project Plan'!$J$2:$J$201,MATCH($O44,'Project Plan'!$V$2:$V$201,0)))</f>
        <v/>
      </c>
      <c r="H44" s="46" t="str">
        <f>IF($O44="","",INDEX('Project Plan'!$M$2:$M$201,MATCH($O44,'Project Plan'!$V$2:$V$201,0)))</f>
        <v/>
      </c>
      <c r="I44" s="45" t="str">
        <f>IF($O44="","",INDEX('Project Plan'!$N$2:$N$201,MATCH($O44,'Project Plan'!$V$2:$V$201,0)))</f>
        <v/>
      </c>
      <c r="J44" s="47" t="str">
        <f>IF($O44="","",INDEX('Project Plan'!$O$2:$O$201,MATCH($O44,'Project Plan'!$V$2:$V$201,0)))</f>
        <v/>
      </c>
      <c r="K44" s="46" t="str">
        <f>IF($O44="","",INDEX('Project Plan'!$R$2:$R$201,MATCH($O44,'Project Plan'!$V$2:$V$201,0)))</f>
        <v/>
      </c>
      <c r="L44" s="38" t="str">
        <f>IF($O44="","",INDEX('Project Plan'!$S$2:$S$201,MATCH($O44,'Project Plan'!$V$2:$V$201,0)))</f>
        <v/>
      </c>
      <c r="M44" s="38" t="str">
        <f>IF($O44="","",INDEX('Project Plan'!$T$2:$T$201,MATCH($O44,'Project Plan'!$V$2:$V$201,0)))</f>
        <v/>
      </c>
      <c r="N44" s="94" t="str">
        <f>IF($O44="","",INDEX('Project Plan'!$U$2:$U$201,MATCH($O44,'Project Plan'!$V$2:$V$201,0)))</f>
        <v/>
      </c>
      <c r="O44" s="45" t="str">
        <f>IF(ROW()-1&lt;=MAX('Project Plan'!$V$2:$V$201),ROW()-1,"")</f>
        <v/>
      </c>
    </row>
    <row r="45" spans="1:15" ht="13.9" customHeight="1" x14ac:dyDescent="0.25">
      <c r="A45" s="93" t="str">
        <f>IF($O45="","",INDEX('Project Plan'!$A$2:$A$201,MATCH($O45,'Project Plan'!$V$2:$V$201,0)))</f>
        <v/>
      </c>
      <c r="B45" s="45" t="str">
        <f>IF($O45="","",INDEX('Project Plan'!$B$2:$B$201,MATCH($O45,'Project Plan'!$V$2:$V$201,0)))</f>
        <v/>
      </c>
      <c r="C45" s="45" t="str">
        <f>IF($O45="","",INDEX('Project Plan'!$C$2:$C$201,MATCH($O45,'Project Plan'!$V$2:$V$201,0)))</f>
        <v/>
      </c>
      <c r="D45" s="45" t="str">
        <f>IF($O45="","",INDEX('Project Plan'!$D$2:$D$201,MATCH($O45,'Project Plan'!$V$2:$V$201,0)))</f>
        <v/>
      </c>
      <c r="E45" s="45" t="str">
        <f>IF($O45="","",INDEX('Project Plan'!$G$2:$G$201,MATCH($O45,'Project Plan'!$V$2:$V$201,0)))</f>
        <v/>
      </c>
      <c r="F45" s="46" t="str">
        <f>IF($O45="","",INDEX('Project Plan'!$I$2:$I$201,MATCH($O45,'Project Plan'!$V$2:$V$201,0)))</f>
        <v/>
      </c>
      <c r="G45" s="46" t="str">
        <f>IF($O45="","",INDEX('Project Plan'!$J$2:$J$201,MATCH($O45,'Project Plan'!$V$2:$V$201,0)))</f>
        <v/>
      </c>
      <c r="H45" s="46" t="str">
        <f>IF($O45="","",INDEX('Project Plan'!$M$2:$M$201,MATCH($O45,'Project Plan'!$V$2:$V$201,0)))</f>
        <v/>
      </c>
      <c r="I45" s="45" t="str">
        <f>IF($O45="","",INDEX('Project Plan'!$N$2:$N$201,MATCH($O45,'Project Plan'!$V$2:$V$201,0)))</f>
        <v/>
      </c>
      <c r="J45" s="47" t="str">
        <f>IF($O45="","",INDEX('Project Plan'!$O$2:$O$201,MATCH($O45,'Project Plan'!$V$2:$V$201,0)))</f>
        <v/>
      </c>
      <c r="K45" s="46" t="str">
        <f>IF($O45="","",INDEX('Project Plan'!$R$2:$R$201,MATCH($O45,'Project Plan'!$V$2:$V$201,0)))</f>
        <v/>
      </c>
      <c r="L45" s="38" t="str">
        <f>IF($O45="","",INDEX('Project Plan'!$S$2:$S$201,MATCH($O45,'Project Plan'!$V$2:$V$201,0)))</f>
        <v/>
      </c>
      <c r="M45" s="38" t="str">
        <f>IF($O45="","",INDEX('Project Plan'!$T$2:$T$201,MATCH($O45,'Project Plan'!$V$2:$V$201,0)))</f>
        <v/>
      </c>
      <c r="N45" s="94" t="str">
        <f>IF($O45="","",INDEX('Project Plan'!$U$2:$U$201,MATCH($O45,'Project Plan'!$V$2:$V$201,0)))</f>
        <v/>
      </c>
      <c r="O45" s="45" t="str">
        <f>IF(ROW()-1&lt;=MAX('Project Plan'!$V$2:$V$201),ROW()-1,"")</f>
        <v/>
      </c>
    </row>
    <row r="46" spans="1:15" ht="13.9" customHeight="1" x14ac:dyDescent="0.25">
      <c r="A46" s="93" t="str">
        <f>IF($O46="","",INDEX('Project Plan'!$A$2:$A$201,MATCH($O46,'Project Plan'!$V$2:$V$201,0)))</f>
        <v/>
      </c>
      <c r="B46" s="45" t="str">
        <f>IF($O46="","",INDEX('Project Plan'!$B$2:$B$201,MATCH($O46,'Project Plan'!$V$2:$V$201,0)))</f>
        <v/>
      </c>
      <c r="C46" s="45" t="str">
        <f>IF($O46="","",INDEX('Project Plan'!$C$2:$C$201,MATCH($O46,'Project Plan'!$V$2:$V$201,0)))</f>
        <v/>
      </c>
      <c r="D46" s="45" t="str">
        <f>IF($O46="","",INDEX('Project Plan'!$D$2:$D$201,MATCH($O46,'Project Plan'!$V$2:$V$201,0)))</f>
        <v/>
      </c>
      <c r="E46" s="45" t="str">
        <f>IF($O46="","",INDEX('Project Plan'!$G$2:$G$201,MATCH($O46,'Project Plan'!$V$2:$V$201,0)))</f>
        <v/>
      </c>
      <c r="F46" s="46" t="str">
        <f>IF($O46="","",INDEX('Project Plan'!$I$2:$I$201,MATCH($O46,'Project Plan'!$V$2:$V$201,0)))</f>
        <v/>
      </c>
      <c r="G46" s="46" t="str">
        <f>IF($O46="","",INDEX('Project Plan'!$J$2:$J$201,MATCH($O46,'Project Plan'!$V$2:$V$201,0)))</f>
        <v/>
      </c>
      <c r="H46" s="46" t="str">
        <f>IF($O46="","",INDEX('Project Plan'!$M$2:$M$201,MATCH($O46,'Project Plan'!$V$2:$V$201,0)))</f>
        <v/>
      </c>
      <c r="I46" s="45" t="str">
        <f>IF($O46="","",INDEX('Project Plan'!$N$2:$N$201,MATCH($O46,'Project Plan'!$V$2:$V$201,0)))</f>
        <v/>
      </c>
      <c r="J46" s="47" t="str">
        <f>IF($O46="","",INDEX('Project Plan'!$O$2:$O$201,MATCH($O46,'Project Plan'!$V$2:$V$201,0)))</f>
        <v/>
      </c>
      <c r="K46" s="46" t="str">
        <f>IF($O46="","",INDEX('Project Plan'!$R$2:$R$201,MATCH($O46,'Project Plan'!$V$2:$V$201,0)))</f>
        <v/>
      </c>
      <c r="L46" s="38" t="str">
        <f>IF($O46="","",INDEX('Project Plan'!$S$2:$S$201,MATCH($O46,'Project Plan'!$V$2:$V$201,0)))</f>
        <v/>
      </c>
      <c r="M46" s="38" t="str">
        <f>IF($O46="","",INDEX('Project Plan'!$T$2:$T$201,MATCH($O46,'Project Plan'!$V$2:$V$201,0)))</f>
        <v/>
      </c>
      <c r="N46" s="94" t="str">
        <f>IF($O46="","",INDEX('Project Plan'!$U$2:$U$201,MATCH($O46,'Project Plan'!$V$2:$V$201,0)))</f>
        <v/>
      </c>
      <c r="O46" s="45" t="str">
        <f>IF(ROW()-1&lt;=MAX('Project Plan'!$V$2:$V$201),ROW()-1,"")</f>
        <v/>
      </c>
    </row>
    <row r="47" spans="1:15" ht="13.9" customHeight="1" x14ac:dyDescent="0.25">
      <c r="A47" s="93" t="str">
        <f>IF($O47="","",INDEX('Project Plan'!$A$2:$A$201,MATCH($O47,'Project Plan'!$V$2:$V$201,0)))</f>
        <v/>
      </c>
      <c r="B47" s="45" t="str">
        <f>IF($O47="","",INDEX('Project Plan'!$B$2:$B$201,MATCH($O47,'Project Plan'!$V$2:$V$201,0)))</f>
        <v/>
      </c>
      <c r="C47" s="45" t="str">
        <f>IF($O47="","",INDEX('Project Plan'!$C$2:$C$201,MATCH($O47,'Project Plan'!$V$2:$V$201,0)))</f>
        <v/>
      </c>
      <c r="D47" s="45" t="str">
        <f>IF($O47="","",INDEX('Project Plan'!$D$2:$D$201,MATCH($O47,'Project Plan'!$V$2:$V$201,0)))</f>
        <v/>
      </c>
      <c r="E47" s="45" t="str">
        <f>IF($O47="","",INDEX('Project Plan'!$G$2:$G$201,MATCH($O47,'Project Plan'!$V$2:$V$201,0)))</f>
        <v/>
      </c>
      <c r="F47" s="46" t="str">
        <f>IF($O47="","",INDEX('Project Plan'!$I$2:$I$201,MATCH($O47,'Project Plan'!$V$2:$V$201,0)))</f>
        <v/>
      </c>
      <c r="G47" s="46" t="str">
        <f>IF($O47="","",INDEX('Project Plan'!$J$2:$J$201,MATCH($O47,'Project Plan'!$V$2:$V$201,0)))</f>
        <v/>
      </c>
      <c r="H47" s="46" t="str">
        <f>IF($O47="","",INDEX('Project Plan'!$M$2:$M$201,MATCH($O47,'Project Plan'!$V$2:$V$201,0)))</f>
        <v/>
      </c>
      <c r="I47" s="45" t="str">
        <f>IF($O47="","",INDEX('Project Plan'!$N$2:$N$201,MATCH($O47,'Project Plan'!$V$2:$V$201,0)))</f>
        <v/>
      </c>
      <c r="J47" s="47" t="str">
        <f>IF($O47="","",INDEX('Project Plan'!$O$2:$O$201,MATCH($O47,'Project Plan'!$V$2:$V$201,0)))</f>
        <v/>
      </c>
      <c r="K47" s="46" t="str">
        <f>IF($O47="","",INDEX('Project Plan'!$R$2:$R$201,MATCH($O47,'Project Plan'!$V$2:$V$201,0)))</f>
        <v/>
      </c>
      <c r="L47" s="38" t="str">
        <f>IF($O47="","",INDEX('Project Plan'!$S$2:$S$201,MATCH($O47,'Project Plan'!$V$2:$V$201,0)))</f>
        <v/>
      </c>
      <c r="M47" s="38" t="str">
        <f>IF($O47="","",INDEX('Project Plan'!$T$2:$T$201,MATCH($O47,'Project Plan'!$V$2:$V$201,0)))</f>
        <v/>
      </c>
      <c r="N47" s="94" t="str">
        <f>IF($O47="","",INDEX('Project Plan'!$U$2:$U$201,MATCH($O47,'Project Plan'!$V$2:$V$201,0)))</f>
        <v/>
      </c>
      <c r="O47" s="45" t="str">
        <f>IF(ROW()-1&lt;=MAX('Project Plan'!$V$2:$V$201),ROW()-1,"")</f>
        <v/>
      </c>
    </row>
    <row r="48" spans="1:15" ht="13.9" customHeight="1" x14ac:dyDescent="0.25">
      <c r="A48" s="93" t="str">
        <f>IF($O48="","",INDEX('Project Plan'!$A$2:$A$201,MATCH($O48,'Project Plan'!$V$2:$V$201,0)))</f>
        <v/>
      </c>
      <c r="B48" s="45" t="str">
        <f>IF($O48="","",INDEX('Project Plan'!$B$2:$B$201,MATCH($O48,'Project Plan'!$V$2:$V$201,0)))</f>
        <v/>
      </c>
      <c r="C48" s="45" t="str">
        <f>IF($O48="","",INDEX('Project Plan'!$C$2:$C$201,MATCH($O48,'Project Plan'!$V$2:$V$201,0)))</f>
        <v/>
      </c>
      <c r="D48" s="45" t="str">
        <f>IF($O48="","",INDEX('Project Plan'!$D$2:$D$201,MATCH($O48,'Project Plan'!$V$2:$V$201,0)))</f>
        <v/>
      </c>
      <c r="E48" s="45" t="str">
        <f>IF($O48="","",INDEX('Project Plan'!$G$2:$G$201,MATCH($O48,'Project Plan'!$V$2:$V$201,0)))</f>
        <v/>
      </c>
      <c r="F48" s="46" t="str">
        <f>IF($O48="","",INDEX('Project Plan'!$I$2:$I$201,MATCH($O48,'Project Plan'!$V$2:$V$201,0)))</f>
        <v/>
      </c>
      <c r="G48" s="46" t="str">
        <f>IF($O48="","",INDEX('Project Plan'!$J$2:$J$201,MATCH($O48,'Project Plan'!$V$2:$V$201,0)))</f>
        <v/>
      </c>
      <c r="H48" s="46" t="str">
        <f>IF($O48="","",INDEX('Project Plan'!$M$2:$M$201,MATCH($O48,'Project Plan'!$V$2:$V$201,0)))</f>
        <v/>
      </c>
      <c r="I48" s="45" t="str">
        <f>IF($O48="","",INDEX('Project Plan'!$N$2:$N$201,MATCH($O48,'Project Plan'!$V$2:$V$201,0)))</f>
        <v/>
      </c>
      <c r="J48" s="47" t="str">
        <f>IF($O48="","",INDEX('Project Plan'!$O$2:$O$201,MATCH($O48,'Project Plan'!$V$2:$V$201,0)))</f>
        <v/>
      </c>
      <c r="K48" s="46" t="str">
        <f>IF($O48="","",INDEX('Project Plan'!$R$2:$R$201,MATCH($O48,'Project Plan'!$V$2:$V$201,0)))</f>
        <v/>
      </c>
      <c r="L48" s="38" t="str">
        <f>IF($O48="","",INDEX('Project Plan'!$S$2:$S$201,MATCH($O48,'Project Plan'!$V$2:$V$201,0)))</f>
        <v/>
      </c>
      <c r="M48" s="38" t="str">
        <f>IF($O48="","",INDEX('Project Plan'!$T$2:$T$201,MATCH($O48,'Project Plan'!$V$2:$V$201,0)))</f>
        <v/>
      </c>
      <c r="N48" s="94" t="str">
        <f>IF($O48="","",INDEX('Project Plan'!$U$2:$U$201,MATCH($O48,'Project Plan'!$V$2:$V$201,0)))</f>
        <v/>
      </c>
      <c r="O48" s="45" t="str">
        <f>IF(ROW()-1&lt;=MAX('Project Plan'!$V$2:$V$201),ROW()-1,"")</f>
        <v/>
      </c>
    </row>
    <row r="49" spans="1:15" ht="13.9" customHeight="1" x14ac:dyDescent="0.25">
      <c r="A49" s="93" t="str">
        <f>IF($O49="","",INDEX('Project Plan'!$A$2:$A$201,MATCH($O49,'Project Plan'!$V$2:$V$201,0)))</f>
        <v/>
      </c>
      <c r="B49" s="45" t="str">
        <f>IF($O49="","",INDEX('Project Plan'!$B$2:$B$201,MATCH($O49,'Project Plan'!$V$2:$V$201,0)))</f>
        <v/>
      </c>
      <c r="C49" s="45" t="str">
        <f>IF($O49="","",INDEX('Project Plan'!$C$2:$C$201,MATCH($O49,'Project Plan'!$V$2:$V$201,0)))</f>
        <v/>
      </c>
      <c r="D49" s="45" t="str">
        <f>IF($O49="","",INDEX('Project Plan'!$D$2:$D$201,MATCH($O49,'Project Plan'!$V$2:$V$201,0)))</f>
        <v/>
      </c>
      <c r="E49" s="45" t="str">
        <f>IF($O49="","",INDEX('Project Plan'!$G$2:$G$201,MATCH($O49,'Project Plan'!$V$2:$V$201,0)))</f>
        <v/>
      </c>
      <c r="F49" s="46" t="str">
        <f>IF($O49="","",INDEX('Project Plan'!$I$2:$I$201,MATCH($O49,'Project Plan'!$V$2:$V$201,0)))</f>
        <v/>
      </c>
      <c r="G49" s="46" t="str">
        <f>IF($O49="","",INDEX('Project Plan'!$J$2:$J$201,MATCH($O49,'Project Plan'!$V$2:$V$201,0)))</f>
        <v/>
      </c>
      <c r="H49" s="46" t="str">
        <f>IF($O49="","",INDEX('Project Plan'!$M$2:$M$201,MATCH($O49,'Project Plan'!$V$2:$V$201,0)))</f>
        <v/>
      </c>
      <c r="I49" s="45" t="str">
        <f>IF($O49="","",INDEX('Project Plan'!$N$2:$N$201,MATCH($O49,'Project Plan'!$V$2:$V$201,0)))</f>
        <v/>
      </c>
      <c r="J49" s="47" t="str">
        <f>IF($O49="","",INDEX('Project Plan'!$O$2:$O$201,MATCH($O49,'Project Plan'!$V$2:$V$201,0)))</f>
        <v/>
      </c>
      <c r="K49" s="46" t="str">
        <f>IF($O49="","",INDEX('Project Plan'!$R$2:$R$201,MATCH($O49,'Project Plan'!$V$2:$V$201,0)))</f>
        <v/>
      </c>
      <c r="L49" s="38" t="str">
        <f>IF($O49="","",INDEX('Project Plan'!$S$2:$S$201,MATCH($O49,'Project Plan'!$V$2:$V$201,0)))</f>
        <v/>
      </c>
      <c r="M49" s="38" t="str">
        <f>IF($O49="","",INDEX('Project Plan'!$T$2:$T$201,MATCH($O49,'Project Plan'!$V$2:$V$201,0)))</f>
        <v/>
      </c>
      <c r="N49" s="94" t="str">
        <f>IF($O49="","",INDEX('Project Plan'!$U$2:$U$201,MATCH($O49,'Project Plan'!$V$2:$V$201,0)))</f>
        <v/>
      </c>
      <c r="O49" s="45" t="str">
        <f>IF(ROW()-1&lt;=MAX('Project Plan'!$V$2:$V$201),ROW()-1,"")</f>
        <v/>
      </c>
    </row>
    <row r="50" spans="1:15" ht="13.9" customHeight="1" x14ac:dyDescent="0.25">
      <c r="A50" s="93" t="str">
        <f>IF($O50="","",INDEX('Project Plan'!$A$2:$A$201,MATCH($O50,'Project Plan'!$V$2:$V$201,0)))</f>
        <v/>
      </c>
      <c r="B50" s="45" t="str">
        <f>IF($O50="","",INDEX('Project Plan'!$B$2:$B$201,MATCH($O50,'Project Plan'!$V$2:$V$201,0)))</f>
        <v/>
      </c>
      <c r="C50" s="45" t="str">
        <f>IF($O50="","",INDEX('Project Plan'!$C$2:$C$201,MATCH($O50,'Project Plan'!$V$2:$V$201,0)))</f>
        <v/>
      </c>
      <c r="D50" s="45" t="str">
        <f>IF($O50="","",INDEX('Project Plan'!$D$2:$D$201,MATCH($O50,'Project Plan'!$V$2:$V$201,0)))</f>
        <v/>
      </c>
      <c r="E50" s="45" t="str">
        <f>IF($O50="","",INDEX('Project Plan'!$G$2:$G$201,MATCH($O50,'Project Plan'!$V$2:$V$201,0)))</f>
        <v/>
      </c>
      <c r="F50" s="46" t="str">
        <f>IF($O50="","",INDEX('Project Plan'!$I$2:$I$201,MATCH($O50,'Project Plan'!$V$2:$V$201,0)))</f>
        <v/>
      </c>
      <c r="G50" s="46" t="str">
        <f>IF($O50="","",INDEX('Project Plan'!$J$2:$J$201,MATCH($O50,'Project Plan'!$V$2:$V$201,0)))</f>
        <v/>
      </c>
      <c r="H50" s="46" t="str">
        <f>IF($O50="","",INDEX('Project Plan'!$M$2:$M$201,MATCH($O50,'Project Plan'!$V$2:$V$201,0)))</f>
        <v/>
      </c>
      <c r="I50" s="45" t="str">
        <f>IF($O50="","",INDEX('Project Plan'!$N$2:$N$201,MATCH($O50,'Project Plan'!$V$2:$V$201,0)))</f>
        <v/>
      </c>
      <c r="J50" s="47" t="str">
        <f>IF($O50="","",INDEX('Project Plan'!$O$2:$O$201,MATCH($O50,'Project Plan'!$V$2:$V$201,0)))</f>
        <v/>
      </c>
      <c r="K50" s="46" t="str">
        <f>IF($O50="","",INDEX('Project Plan'!$R$2:$R$201,MATCH($O50,'Project Plan'!$V$2:$V$201,0)))</f>
        <v/>
      </c>
      <c r="L50" s="38" t="str">
        <f>IF($O50="","",INDEX('Project Plan'!$S$2:$S$201,MATCH($O50,'Project Plan'!$V$2:$V$201,0)))</f>
        <v/>
      </c>
      <c r="M50" s="38" t="str">
        <f>IF($O50="","",INDEX('Project Plan'!$T$2:$T$201,MATCH($O50,'Project Plan'!$V$2:$V$201,0)))</f>
        <v/>
      </c>
      <c r="N50" s="94" t="str">
        <f>IF($O50="","",INDEX('Project Plan'!$U$2:$U$201,MATCH($O50,'Project Plan'!$V$2:$V$201,0)))</f>
        <v/>
      </c>
      <c r="O50" s="45" t="str">
        <f>IF(ROW()-1&lt;=MAX('Project Plan'!$V$2:$V$201),ROW()-1,"")</f>
        <v/>
      </c>
    </row>
    <row r="51" spans="1:15" ht="13.9" customHeight="1" x14ac:dyDescent="0.25">
      <c r="A51" s="93" t="str">
        <f>IF($O51="","",INDEX('Project Plan'!$A$2:$A$201,MATCH($O51,'Project Plan'!$V$2:$V$201,0)))</f>
        <v/>
      </c>
      <c r="B51" s="45" t="str">
        <f>IF($O51="","",INDEX('Project Plan'!$B$2:$B$201,MATCH($O51,'Project Plan'!$V$2:$V$201,0)))</f>
        <v/>
      </c>
      <c r="C51" s="45" t="str">
        <f>IF($O51="","",INDEX('Project Plan'!$C$2:$C$201,MATCH($O51,'Project Plan'!$V$2:$V$201,0)))</f>
        <v/>
      </c>
      <c r="D51" s="45" t="str">
        <f>IF($O51="","",INDEX('Project Plan'!$D$2:$D$201,MATCH($O51,'Project Plan'!$V$2:$V$201,0)))</f>
        <v/>
      </c>
      <c r="E51" s="45" t="str">
        <f>IF($O51="","",INDEX('Project Plan'!$G$2:$G$201,MATCH($O51,'Project Plan'!$V$2:$V$201,0)))</f>
        <v/>
      </c>
      <c r="F51" s="46" t="str">
        <f>IF($O51="","",INDEX('Project Plan'!$I$2:$I$201,MATCH($O51,'Project Plan'!$V$2:$V$201,0)))</f>
        <v/>
      </c>
      <c r="G51" s="46" t="str">
        <f>IF($O51="","",INDEX('Project Plan'!$J$2:$J$201,MATCH($O51,'Project Plan'!$V$2:$V$201,0)))</f>
        <v/>
      </c>
      <c r="H51" s="46" t="str">
        <f>IF($O51="","",INDEX('Project Plan'!$M$2:$M$201,MATCH($O51,'Project Plan'!$V$2:$V$201,0)))</f>
        <v/>
      </c>
      <c r="I51" s="45" t="str">
        <f>IF($O51="","",INDEX('Project Plan'!$N$2:$N$201,MATCH($O51,'Project Plan'!$V$2:$V$201,0)))</f>
        <v/>
      </c>
      <c r="J51" s="47" t="str">
        <f>IF($O51="","",INDEX('Project Plan'!$O$2:$O$201,MATCH($O51,'Project Plan'!$V$2:$V$201,0)))</f>
        <v/>
      </c>
      <c r="K51" s="46" t="str">
        <f>IF($O51="","",INDEX('Project Plan'!$R$2:$R$201,MATCH($O51,'Project Plan'!$V$2:$V$201,0)))</f>
        <v/>
      </c>
      <c r="L51" s="38" t="str">
        <f>IF($O51="","",INDEX('Project Plan'!$S$2:$S$201,MATCH($O51,'Project Plan'!$V$2:$V$201,0)))</f>
        <v/>
      </c>
      <c r="M51" s="38" t="str">
        <f>IF($O51="","",INDEX('Project Plan'!$T$2:$T$201,MATCH($O51,'Project Plan'!$V$2:$V$201,0)))</f>
        <v/>
      </c>
      <c r="N51" s="94" t="str">
        <f>IF($O51="","",INDEX('Project Plan'!$U$2:$U$201,MATCH($O51,'Project Plan'!$V$2:$V$201,0)))</f>
        <v/>
      </c>
      <c r="O51" s="45" t="str">
        <f>IF(ROW()-1&lt;=MAX('Project Plan'!$V$2:$V$201),ROW()-1,"")</f>
        <v/>
      </c>
    </row>
    <row r="52" spans="1:15" ht="13.9" customHeight="1" x14ac:dyDescent="0.25">
      <c r="A52" s="93" t="str">
        <f>IF($O52="","",INDEX('Project Plan'!$A$2:$A$201,MATCH($O52,'Project Plan'!$V$2:$V$201,0)))</f>
        <v/>
      </c>
      <c r="B52" s="45" t="str">
        <f>IF($O52="","",INDEX('Project Plan'!$B$2:$B$201,MATCH($O52,'Project Plan'!$V$2:$V$201,0)))</f>
        <v/>
      </c>
      <c r="C52" s="45" t="str">
        <f>IF($O52="","",INDEX('Project Plan'!$C$2:$C$201,MATCH($O52,'Project Plan'!$V$2:$V$201,0)))</f>
        <v/>
      </c>
      <c r="D52" s="45" t="str">
        <f>IF($O52="","",INDEX('Project Plan'!$D$2:$D$201,MATCH($O52,'Project Plan'!$V$2:$V$201,0)))</f>
        <v/>
      </c>
      <c r="E52" s="45" t="str">
        <f>IF($O52="","",INDEX('Project Plan'!$G$2:$G$201,MATCH($O52,'Project Plan'!$V$2:$V$201,0)))</f>
        <v/>
      </c>
      <c r="F52" s="46" t="str">
        <f>IF($O52="","",INDEX('Project Plan'!$I$2:$I$201,MATCH($O52,'Project Plan'!$V$2:$V$201,0)))</f>
        <v/>
      </c>
      <c r="G52" s="46" t="str">
        <f>IF($O52="","",INDEX('Project Plan'!$J$2:$J$201,MATCH($O52,'Project Plan'!$V$2:$V$201,0)))</f>
        <v/>
      </c>
      <c r="H52" s="46" t="str">
        <f>IF($O52="","",INDEX('Project Plan'!$M$2:$M$201,MATCH($O52,'Project Plan'!$V$2:$V$201,0)))</f>
        <v/>
      </c>
      <c r="I52" s="45" t="str">
        <f>IF($O52="","",INDEX('Project Plan'!$N$2:$N$201,MATCH($O52,'Project Plan'!$V$2:$V$201,0)))</f>
        <v/>
      </c>
      <c r="J52" s="47" t="str">
        <f>IF($O52="","",INDEX('Project Plan'!$O$2:$O$201,MATCH($O52,'Project Plan'!$V$2:$V$201,0)))</f>
        <v/>
      </c>
      <c r="K52" s="46" t="str">
        <f>IF($O52="","",INDEX('Project Plan'!$R$2:$R$201,MATCH($O52,'Project Plan'!$V$2:$V$201,0)))</f>
        <v/>
      </c>
      <c r="L52" s="38" t="str">
        <f>IF($O52="","",INDEX('Project Plan'!$S$2:$S$201,MATCH($O52,'Project Plan'!$V$2:$V$201,0)))</f>
        <v/>
      </c>
      <c r="M52" s="38" t="str">
        <f>IF($O52="","",INDEX('Project Plan'!$T$2:$T$201,MATCH($O52,'Project Plan'!$V$2:$V$201,0)))</f>
        <v/>
      </c>
      <c r="N52" s="94" t="str">
        <f>IF($O52="","",INDEX('Project Plan'!$U$2:$U$201,MATCH($O52,'Project Plan'!$V$2:$V$201,0)))</f>
        <v/>
      </c>
      <c r="O52" s="45" t="str">
        <f>IF(ROW()-1&lt;=MAX('Project Plan'!$V$2:$V$201),ROW()-1,"")</f>
        <v/>
      </c>
    </row>
    <row r="53" spans="1:15" ht="13.9" customHeight="1" x14ac:dyDescent="0.25">
      <c r="A53" s="93" t="str">
        <f>IF($O53="","",INDEX('Project Plan'!$A$2:$A$201,MATCH($O53,'Project Plan'!$V$2:$V$201,0)))</f>
        <v/>
      </c>
      <c r="B53" s="45" t="str">
        <f>IF($O53="","",INDEX('Project Plan'!$B$2:$B$201,MATCH($O53,'Project Plan'!$V$2:$V$201,0)))</f>
        <v/>
      </c>
      <c r="C53" s="45" t="str">
        <f>IF($O53="","",INDEX('Project Plan'!$C$2:$C$201,MATCH($O53,'Project Plan'!$V$2:$V$201,0)))</f>
        <v/>
      </c>
      <c r="D53" s="45" t="str">
        <f>IF($O53="","",INDEX('Project Plan'!$D$2:$D$201,MATCH($O53,'Project Plan'!$V$2:$V$201,0)))</f>
        <v/>
      </c>
      <c r="E53" s="45" t="str">
        <f>IF($O53="","",INDEX('Project Plan'!$G$2:$G$201,MATCH($O53,'Project Plan'!$V$2:$V$201,0)))</f>
        <v/>
      </c>
      <c r="F53" s="46" t="str">
        <f>IF($O53="","",INDEX('Project Plan'!$I$2:$I$201,MATCH($O53,'Project Plan'!$V$2:$V$201,0)))</f>
        <v/>
      </c>
      <c r="G53" s="46" t="str">
        <f>IF($O53="","",INDEX('Project Plan'!$J$2:$J$201,MATCH($O53,'Project Plan'!$V$2:$V$201,0)))</f>
        <v/>
      </c>
      <c r="H53" s="46" t="str">
        <f>IF($O53="","",INDEX('Project Plan'!$M$2:$M$201,MATCH($O53,'Project Plan'!$V$2:$V$201,0)))</f>
        <v/>
      </c>
      <c r="I53" s="45" t="str">
        <f>IF($O53="","",INDEX('Project Plan'!$N$2:$N$201,MATCH($O53,'Project Plan'!$V$2:$V$201,0)))</f>
        <v/>
      </c>
      <c r="J53" s="47" t="str">
        <f>IF($O53="","",INDEX('Project Plan'!$O$2:$O$201,MATCH($O53,'Project Plan'!$V$2:$V$201,0)))</f>
        <v/>
      </c>
      <c r="K53" s="46" t="str">
        <f>IF($O53="","",INDEX('Project Plan'!$R$2:$R$201,MATCH($O53,'Project Plan'!$V$2:$V$201,0)))</f>
        <v/>
      </c>
      <c r="L53" s="38" t="str">
        <f>IF($O53="","",INDEX('Project Plan'!$S$2:$S$201,MATCH($O53,'Project Plan'!$V$2:$V$201,0)))</f>
        <v/>
      </c>
      <c r="M53" s="38" t="str">
        <f>IF($O53="","",INDEX('Project Plan'!$T$2:$T$201,MATCH($O53,'Project Plan'!$V$2:$V$201,0)))</f>
        <v/>
      </c>
      <c r="N53" s="94" t="str">
        <f>IF($O53="","",INDEX('Project Plan'!$U$2:$U$201,MATCH($O53,'Project Plan'!$V$2:$V$201,0)))</f>
        <v/>
      </c>
      <c r="O53" s="45" t="str">
        <f>IF(ROW()-1&lt;=MAX('Project Plan'!$V$2:$V$201),ROW()-1,"")</f>
        <v/>
      </c>
    </row>
    <row r="54" spans="1:15" ht="13.9" customHeight="1" x14ac:dyDescent="0.25">
      <c r="A54" s="93" t="str">
        <f>IF($O54="","",INDEX('Project Plan'!$A$2:$A$201,MATCH($O54,'Project Plan'!$V$2:$V$201,0)))</f>
        <v/>
      </c>
      <c r="B54" s="45" t="str">
        <f>IF($O54="","",INDEX('Project Plan'!$B$2:$B$201,MATCH($O54,'Project Plan'!$V$2:$V$201,0)))</f>
        <v/>
      </c>
      <c r="C54" s="45" t="str">
        <f>IF($O54="","",INDEX('Project Plan'!$C$2:$C$201,MATCH($O54,'Project Plan'!$V$2:$V$201,0)))</f>
        <v/>
      </c>
      <c r="D54" s="45" t="str">
        <f>IF($O54="","",INDEX('Project Plan'!$D$2:$D$201,MATCH($O54,'Project Plan'!$V$2:$V$201,0)))</f>
        <v/>
      </c>
      <c r="E54" s="45" t="str">
        <f>IF($O54="","",INDEX('Project Plan'!$G$2:$G$201,MATCH($O54,'Project Plan'!$V$2:$V$201,0)))</f>
        <v/>
      </c>
      <c r="F54" s="46" t="str">
        <f>IF($O54="","",INDEX('Project Plan'!$I$2:$I$201,MATCH($O54,'Project Plan'!$V$2:$V$201,0)))</f>
        <v/>
      </c>
      <c r="G54" s="46" t="str">
        <f>IF($O54="","",INDEX('Project Plan'!$J$2:$J$201,MATCH($O54,'Project Plan'!$V$2:$V$201,0)))</f>
        <v/>
      </c>
      <c r="H54" s="46" t="str">
        <f>IF($O54="","",INDEX('Project Plan'!$M$2:$M$201,MATCH($O54,'Project Plan'!$V$2:$V$201,0)))</f>
        <v/>
      </c>
      <c r="I54" s="45" t="str">
        <f>IF($O54="","",INDEX('Project Plan'!$N$2:$N$201,MATCH($O54,'Project Plan'!$V$2:$V$201,0)))</f>
        <v/>
      </c>
      <c r="J54" s="47" t="str">
        <f>IF($O54="","",INDEX('Project Plan'!$O$2:$O$201,MATCH($O54,'Project Plan'!$V$2:$V$201,0)))</f>
        <v/>
      </c>
      <c r="K54" s="46" t="str">
        <f>IF($O54="","",INDEX('Project Plan'!$R$2:$R$201,MATCH($O54,'Project Plan'!$V$2:$V$201,0)))</f>
        <v/>
      </c>
      <c r="L54" s="38" t="str">
        <f>IF($O54="","",INDEX('Project Plan'!$S$2:$S$201,MATCH($O54,'Project Plan'!$V$2:$V$201,0)))</f>
        <v/>
      </c>
      <c r="M54" s="38" t="str">
        <f>IF($O54="","",INDEX('Project Plan'!$T$2:$T$201,MATCH($O54,'Project Plan'!$V$2:$V$201,0)))</f>
        <v/>
      </c>
      <c r="N54" s="94" t="str">
        <f>IF($O54="","",INDEX('Project Plan'!$U$2:$U$201,MATCH($O54,'Project Plan'!$V$2:$V$201,0)))</f>
        <v/>
      </c>
      <c r="O54" s="45" t="str">
        <f>IF(ROW()-1&lt;=MAX('Project Plan'!$V$2:$V$201),ROW()-1,"")</f>
        <v/>
      </c>
    </row>
    <row r="55" spans="1:15" ht="13.9" customHeight="1" x14ac:dyDescent="0.25">
      <c r="A55" s="93" t="str">
        <f>IF($O55="","",INDEX('Project Plan'!$A$2:$A$201,MATCH($O55,'Project Plan'!$V$2:$V$201,0)))</f>
        <v/>
      </c>
      <c r="B55" s="45" t="str">
        <f>IF($O55="","",INDEX('Project Plan'!$B$2:$B$201,MATCH($O55,'Project Plan'!$V$2:$V$201,0)))</f>
        <v/>
      </c>
      <c r="C55" s="45" t="str">
        <f>IF($O55="","",INDEX('Project Plan'!$C$2:$C$201,MATCH($O55,'Project Plan'!$V$2:$V$201,0)))</f>
        <v/>
      </c>
      <c r="D55" s="45" t="str">
        <f>IF($O55="","",INDEX('Project Plan'!$D$2:$D$201,MATCH($O55,'Project Plan'!$V$2:$V$201,0)))</f>
        <v/>
      </c>
      <c r="E55" s="45" t="str">
        <f>IF($O55="","",INDEX('Project Plan'!$G$2:$G$201,MATCH($O55,'Project Plan'!$V$2:$V$201,0)))</f>
        <v/>
      </c>
      <c r="F55" s="46" t="str">
        <f>IF($O55="","",INDEX('Project Plan'!$I$2:$I$201,MATCH($O55,'Project Plan'!$V$2:$V$201,0)))</f>
        <v/>
      </c>
      <c r="G55" s="46" t="str">
        <f>IF($O55="","",INDEX('Project Plan'!$J$2:$J$201,MATCH($O55,'Project Plan'!$V$2:$V$201,0)))</f>
        <v/>
      </c>
      <c r="H55" s="46" t="str">
        <f>IF($O55="","",INDEX('Project Plan'!$M$2:$M$201,MATCH($O55,'Project Plan'!$V$2:$V$201,0)))</f>
        <v/>
      </c>
      <c r="I55" s="45" t="str">
        <f>IF($O55="","",INDEX('Project Plan'!$N$2:$N$201,MATCH($O55,'Project Plan'!$V$2:$V$201,0)))</f>
        <v/>
      </c>
      <c r="J55" s="47" t="str">
        <f>IF($O55="","",INDEX('Project Plan'!$O$2:$O$201,MATCH($O55,'Project Plan'!$V$2:$V$201,0)))</f>
        <v/>
      </c>
      <c r="K55" s="46" t="str">
        <f>IF($O55="","",INDEX('Project Plan'!$R$2:$R$201,MATCH($O55,'Project Plan'!$V$2:$V$201,0)))</f>
        <v/>
      </c>
      <c r="L55" s="38" t="str">
        <f>IF($O55="","",INDEX('Project Plan'!$S$2:$S$201,MATCH($O55,'Project Plan'!$V$2:$V$201,0)))</f>
        <v/>
      </c>
      <c r="M55" s="38" t="str">
        <f>IF($O55="","",INDEX('Project Plan'!$T$2:$T$201,MATCH($O55,'Project Plan'!$V$2:$V$201,0)))</f>
        <v/>
      </c>
      <c r="N55" s="94" t="str">
        <f>IF($O55="","",INDEX('Project Plan'!$U$2:$U$201,MATCH($O55,'Project Plan'!$V$2:$V$201,0)))</f>
        <v/>
      </c>
      <c r="O55" s="45" t="str">
        <f>IF(ROW()-1&lt;=MAX('Project Plan'!$V$2:$V$201),ROW()-1,"")</f>
        <v/>
      </c>
    </row>
    <row r="56" spans="1:15" ht="13.9" customHeight="1" x14ac:dyDescent="0.25">
      <c r="A56" s="93" t="str">
        <f>IF($O56="","",INDEX('Project Plan'!$A$2:$A$201,MATCH($O56,'Project Plan'!$V$2:$V$201,0)))</f>
        <v/>
      </c>
      <c r="B56" s="45" t="str">
        <f>IF($O56="","",INDEX('Project Plan'!$B$2:$B$201,MATCH($O56,'Project Plan'!$V$2:$V$201,0)))</f>
        <v/>
      </c>
      <c r="C56" s="45" t="str">
        <f>IF($O56="","",INDEX('Project Plan'!$C$2:$C$201,MATCH($O56,'Project Plan'!$V$2:$V$201,0)))</f>
        <v/>
      </c>
      <c r="D56" s="45" t="str">
        <f>IF($O56="","",INDEX('Project Plan'!$D$2:$D$201,MATCH($O56,'Project Plan'!$V$2:$V$201,0)))</f>
        <v/>
      </c>
      <c r="E56" s="45" t="str">
        <f>IF($O56="","",INDEX('Project Plan'!$G$2:$G$201,MATCH($O56,'Project Plan'!$V$2:$V$201,0)))</f>
        <v/>
      </c>
      <c r="F56" s="46" t="str">
        <f>IF($O56="","",INDEX('Project Plan'!$I$2:$I$201,MATCH($O56,'Project Plan'!$V$2:$V$201,0)))</f>
        <v/>
      </c>
      <c r="G56" s="46" t="str">
        <f>IF($O56="","",INDEX('Project Plan'!$J$2:$J$201,MATCH($O56,'Project Plan'!$V$2:$V$201,0)))</f>
        <v/>
      </c>
      <c r="H56" s="46" t="str">
        <f>IF($O56="","",INDEX('Project Plan'!$M$2:$M$201,MATCH($O56,'Project Plan'!$V$2:$V$201,0)))</f>
        <v/>
      </c>
      <c r="I56" s="45" t="str">
        <f>IF($O56="","",INDEX('Project Plan'!$N$2:$N$201,MATCH($O56,'Project Plan'!$V$2:$V$201,0)))</f>
        <v/>
      </c>
      <c r="J56" s="47" t="str">
        <f>IF($O56="","",INDEX('Project Plan'!$O$2:$O$201,MATCH($O56,'Project Plan'!$V$2:$V$201,0)))</f>
        <v/>
      </c>
      <c r="K56" s="46" t="str">
        <f>IF($O56="","",INDEX('Project Plan'!$R$2:$R$201,MATCH($O56,'Project Plan'!$V$2:$V$201,0)))</f>
        <v/>
      </c>
      <c r="L56" s="38" t="str">
        <f>IF($O56="","",INDEX('Project Plan'!$S$2:$S$201,MATCH($O56,'Project Plan'!$V$2:$V$201,0)))</f>
        <v/>
      </c>
      <c r="M56" s="38" t="str">
        <f>IF($O56="","",INDEX('Project Plan'!$T$2:$T$201,MATCH($O56,'Project Plan'!$V$2:$V$201,0)))</f>
        <v/>
      </c>
      <c r="N56" s="94" t="str">
        <f>IF($O56="","",INDEX('Project Plan'!$U$2:$U$201,MATCH($O56,'Project Plan'!$V$2:$V$201,0)))</f>
        <v/>
      </c>
      <c r="O56" s="45" t="str">
        <f>IF(ROW()-1&lt;=MAX('Project Plan'!$V$2:$V$201),ROW()-1,"")</f>
        <v/>
      </c>
    </row>
    <row r="57" spans="1:15" ht="13.9" customHeight="1" x14ac:dyDescent="0.25">
      <c r="A57" s="93" t="str">
        <f>IF($O57="","",INDEX('Project Plan'!$A$2:$A$201,MATCH($O57,'Project Plan'!$V$2:$V$201,0)))</f>
        <v/>
      </c>
      <c r="B57" s="45" t="str">
        <f>IF($O57="","",INDEX('Project Plan'!$B$2:$B$201,MATCH($O57,'Project Plan'!$V$2:$V$201,0)))</f>
        <v/>
      </c>
      <c r="C57" s="45" t="str">
        <f>IF($O57="","",INDEX('Project Plan'!$C$2:$C$201,MATCH($O57,'Project Plan'!$V$2:$V$201,0)))</f>
        <v/>
      </c>
      <c r="D57" s="45" t="str">
        <f>IF($O57="","",INDEX('Project Plan'!$D$2:$D$201,MATCH($O57,'Project Plan'!$V$2:$V$201,0)))</f>
        <v/>
      </c>
      <c r="E57" s="45" t="str">
        <f>IF($O57="","",INDEX('Project Plan'!$G$2:$G$201,MATCH($O57,'Project Plan'!$V$2:$V$201,0)))</f>
        <v/>
      </c>
      <c r="F57" s="46" t="str">
        <f>IF($O57="","",INDEX('Project Plan'!$I$2:$I$201,MATCH($O57,'Project Plan'!$V$2:$V$201,0)))</f>
        <v/>
      </c>
      <c r="G57" s="46" t="str">
        <f>IF($O57="","",INDEX('Project Plan'!$J$2:$J$201,MATCH($O57,'Project Plan'!$V$2:$V$201,0)))</f>
        <v/>
      </c>
      <c r="H57" s="46" t="str">
        <f>IF($O57="","",INDEX('Project Plan'!$M$2:$M$201,MATCH($O57,'Project Plan'!$V$2:$V$201,0)))</f>
        <v/>
      </c>
      <c r="I57" s="45" t="str">
        <f>IF($O57="","",INDEX('Project Plan'!$N$2:$N$201,MATCH($O57,'Project Plan'!$V$2:$V$201,0)))</f>
        <v/>
      </c>
      <c r="J57" s="47" t="str">
        <f>IF($O57="","",INDEX('Project Plan'!$O$2:$O$201,MATCH($O57,'Project Plan'!$V$2:$V$201,0)))</f>
        <v/>
      </c>
      <c r="K57" s="46" t="str">
        <f>IF($O57="","",INDEX('Project Plan'!$R$2:$R$201,MATCH($O57,'Project Plan'!$V$2:$V$201,0)))</f>
        <v/>
      </c>
      <c r="L57" s="38" t="str">
        <f>IF($O57="","",INDEX('Project Plan'!$S$2:$S$201,MATCH($O57,'Project Plan'!$V$2:$V$201,0)))</f>
        <v/>
      </c>
      <c r="M57" s="38" t="str">
        <f>IF($O57="","",INDEX('Project Plan'!$T$2:$T$201,MATCH($O57,'Project Plan'!$V$2:$V$201,0)))</f>
        <v/>
      </c>
      <c r="N57" s="94" t="str">
        <f>IF($O57="","",INDEX('Project Plan'!$U$2:$U$201,MATCH($O57,'Project Plan'!$V$2:$V$201,0)))</f>
        <v/>
      </c>
      <c r="O57" s="45" t="str">
        <f>IF(ROW()-1&lt;=MAX('Project Plan'!$V$2:$V$201),ROW()-1,"")</f>
        <v/>
      </c>
    </row>
    <row r="58" spans="1:15" ht="13.9" customHeight="1" x14ac:dyDescent="0.25">
      <c r="A58" s="93" t="str">
        <f>IF($O58="","",INDEX('Project Plan'!$A$2:$A$201,MATCH($O58,'Project Plan'!$V$2:$V$201,0)))</f>
        <v/>
      </c>
      <c r="B58" s="45" t="str">
        <f>IF($O58="","",INDEX('Project Plan'!$B$2:$B$201,MATCH($O58,'Project Plan'!$V$2:$V$201,0)))</f>
        <v/>
      </c>
      <c r="C58" s="45" t="str">
        <f>IF($O58="","",INDEX('Project Plan'!$C$2:$C$201,MATCH($O58,'Project Plan'!$V$2:$V$201,0)))</f>
        <v/>
      </c>
      <c r="D58" s="45" t="str">
        <f>IF($O58="","",INDEX('Project Plan'!$D$2:$D$201,MATCH($O58,'Project Plan'!$V$2:$V$201,0)))</f>
        <v/>
      </c>
      <c r="E58" s="45" t="str">
        <f>IF($O58="","",INDEX('Project Plan'!$G$2:$G$201,MATCH($O58,'Project Plan'!$V$2:$V$201,0)))</f>
        <v/>
      </c>
      <c r="F58" s="46" t="str">
        <f>IF($O58="","",INDEX('Project Plan'!$I$2:$I$201,MATCH($O58,'Project Plan'!$V$2:$V$201,0)))</f>
        <v/>
      </c>
      <c r="G58" s="46" t="str">
        <f>IF($O58="","",INDEX('Project Plan'!$J$2:$J$201,MATCH($O58,'Project Plan'!$V$2:$V$201,0)))</f>
        <v/>
      </c>
      <c r="H58" s="46" t="str">
        <f>IF($O58="","",INDEX('Project Plan'!$M$2:$M$201,MATCH($O58,'Project Plan'!$V$2:$V$201,0)))</f>
        <v/>
      </c>
      <c r="I58" s="45" t="str">
        <f>IF($O58="","",INDEX('Project Plan'!$N$2:$N$201,MATCH($O58,'Project Plan'!$V$2:$V$201,0)))</f>
        <v/>
      </c>
      <c r="J58" s="47" t="str">
        <f>IF($O58="","",INDEX('Project Plan'!$O$2:$O$201,MATCH($O58,'Project Plan'!$V$2:$V$201,0)))</f>
        <v/>
      </c>
      <c r="K58" s="46" t="str">
        <f>IF($O58="","",INDEX('Project Plan'!$R$2:$R$201,MATCH($O58,'Project Plan'!$V$2:$V$201,0)))</f>
        <v/>
      </c>
      <c r="L58" s="38" t="str">
        <f>IF($O58="","",INDEX('Project Plan'!$S$2:$S$201,MATCH($O58,'Project Plan'!$V$2:$V$201,0)))</f>
        <v/>
      </c>
      <c r="M58" s="38" t="str">
        <f>IF($O58="","",INDEX('Project Plan'!$T$2:$T$201,MATCH($O58,'Project Plan'!$V$2:$V$201,0)))</f>
        <v/>
      </c>
      <c r="N58" s="94" t="str">
        <f>IF($O58="","",INDEX('Project Plan'!$U$2:$U$201,MATCH($O58,'Project Plan'!$V$2:$V$201,0)))</f>
        <v/>
      </c>
      <c r="O58" s="45" t="str">
        <f>IF(ROW()-1&lt;=MAX('Project Plan'!$V$2:$V$201),ROW()-1,"")</f>
        <v/>
      </c>
    </row>
    <row r="59" spans="1:15" ht="13.9" customHeight="1" x14ac:dyDescent="0.25">
      <c r="A59" s="93" t="str">
        <f>IF($O59="","",INDEX('Project Plan'!$A$2:$A$201,MATCH($O59,'Project Plan'!$V$2:$V$201,0)))</f>
        <v/>
      </c>
      <c r="B59" s="45" t="str">
        <f>IF($O59="","",INDEX('Project Plan'!$B$2:$B$201,MATCH($O59,'Project Plan'!$V$2:$V$201,0)))</f>
        <v/>
      </c>
      <c r="C59" s="45" t="str">
        <f>IF($O59="","",INDEX('Project Plan'!$C$2:$C$201,MATCH($O59,'Project Plan'!$V$2:$V$201,0)))</f>
        <v/>
      </c>
      <c r="D59" s="45" t="str">
        <f>IF($O59="","",INDEX('Project Plan'!$D$2:$D$201,MATCH($O59,'Project Plan'!$V$2:$V$201,0)))</f>
        <v/>
      </c>
      <c r="E59" s="45" t="str">
        <f>IF($O59="","",INDEX('Project Plan'!$G$2:$G$201,MATCH($O59,'Project Plan'!$V$2:$V$201,0)))</f>
        <v/>
      </c>
      <c r="F59" s="46" t="str">
        <f>IF($O59="","",INDEX('Project Plan'!$I$2:$I$201,MATCH($O59,'Project Plan'!$V$2:$V$201,0)))</f>
        <v/>
      </c>
      <c r="G59" s="46" t="str">
        <f>IF($O59="","",INDEX('Project Plan'!$J$2:$J$201,MATCH($O59,'Project Plan'!$V$2:$V$201,0)))</f>
        <v/>
      </c>
      <c r="H59" s="46" t="str">
        <f>IF($O59="","",INDEX('Project Plan'!$M$2:$M$201,MATCH($O59,'Project Plan'!$V$2:$V$201,0)))</f>
        <v/>
      </c>
      <c r="I59" s="45" t="str">
        <f>IF($O59="","",INDEX('Project Plan'!$N$2:$N$201,MATCH($O59,'Project Plan'!$V$2:$V$201,0)))</f>
        <v/>
      </c>
      <c r="J59" s="47" t="str">
        <f>IF($O59="","",INDEX('Project Plan'!$O$2:$O$201,MATCH($O59,'Project Plan'!$V$2:$V$201,0)))</f>
        <v/>
      </c>
      <c r="K59" s="46" t="str">
        <f>IF($O59="","",INDEX('Project Plan'!$R$2:$R$201,MATCH($O59,'Project Plan'!$V$2:$V$201,0)))</f>
        <v/>
      </c>
      <c r="L59" s="38" t="str">
        <f>IF($O59="","",INDEX('Project Plan'!$S$2:$S$201,MATCH($O59,'Project Plan'!$V$2:$V$201,0)))</f>
        <v/>
      </c>
      <c r="M59" s="38" t="str">
        <f>IF($O59="","",INDEX('Project Plan'!$T$2:$T$201,MATCH($O59,'Project Plan'!$V$2:$V$201,0)))</f>
        <v/>
      </c>
      <c r="N59" s="94" t="str">
        <f>IF($O59="","",INDEX('Project Plan'!$U$2:$U$201,MATCH($O59,'Project Plan'!$V$2:$V$201,0)))</f>
        <v/>
      </c>
      <c r="O59" s="45" t="str">
        <f>IF(ROW()-1&lt;=MAX('Project Plan'!$V$2:$V$201),ROW()-1,"")</f>
        <v/>
      </c>
    </row>
    <row r="60" spans="1:15" ht="13.9" customHeight="1" x14ac:dyDescent="0.25">
      <c r="A60" s="93" t="str">
        <f>IF($O60="","",INDEX('Project Plan'!$A$2:$A$201,MATCH($O60,'Project Plan'!$V$2:$V$201,0)))</f>
        <v/>
      </c>
      <c r="B60" s="45" t="str">
        <f>IF($O60="","",INDEX('Project Plan'!$B$2:$B$201,MATCH($O60,'Project Plan'!$V$2:$V$201,0)))</f>
        <v/>
      </c>
      <c r="C60" s="45" t="str">
        <f>IF($O60="","",INDEX('Project Plan'!$C$2:$C$201,MATCH($O60,'Project Plan'!$V$2:$V$201,0)))</f>
        <v/>
      </c>
      <c r="D60" s="45" t="str">
        <f>IF($O60="","",INDEX('Project Plan'!$D$2:$D$201,MATCH($O60,'Project Plan'!$V$2:$V$201,0)))</f>
        <v/>
      </c>
      <c r="E60" s="45" t="str">
        <f>IF($O60="","",INDEX('Project Plan'!$G$2:$G$201,MATCH($O60,'Project Plan'!$V$2:$V$201,0)))</f>
        <v/>
      </c>
      <c r="F60" s="46" t="str">
        <f>IF($O60="","",INDEX('Project Plan'!$I$2:$I$201,MATCH($O60,'Project Plan'!$V$2:$V$201,0)))</f>
        <v/>
      </c>
      <c r="G60" s="46" t="str">
        <f>IF($O60="","",INDEX('Project Plan'!$J$2:$J$201,MATCH($O60,'Project Plan'!$V$2:$V$201,0)))</f>
        <v/>
      </c>
      <c r="H60" s="46" t="str">
        <f>IF($O60="","",INDEX('Project Plan'!$M$2:$M$201,MATCH($O60,'Project Plan'!$V$2:$V$201,0)))</f>
        <v/>
      </c>
      <c r="I60" s="45" t="str">
        <f>IF($O60="","",INDEX('Project Plan'!$N$2:$N$201,MATCH($O60,'Project Plan'!$V$2:$V$201,0)))</f>
        <v/>
      </c>
      <c r="J60" s="47" t="str">
        <f>IF($O60="","",INDEX('Project Plan'!$O$2:$O$201,MATCH($O60,'Project Plan'!$V$2:$V$201,0)))</f>
        <v/>
      </c>
      <c r="K60" s="46" t="str">
        <f>IF($O60="","",INDEX('Project Plan'!$R$2:$R$201,MATCH($O60,'Project Plan'!$V$2:$V$201,0)))</f>
        <v/>
      </c>
      <c r="L60" s="38" t="str">
        <f>IF($O60="","",INDEX('Project Plan'!$S$2:$S$201,MATCH($O60,'Project Plan'!$V$2:$V$201,0)))</f>
        <v/>
      </c>
      <c r="M60" s="38" t="str">
        <f>IF($O60="","",INDEX('Project Plan'!$T$2:$T$201,MATCH($O60,'Project Plan'!$V$2:$V$201,0)))</f>
        <v/>
      </c>
      <c r="N60" s="94" t="str">
        <f>IF($O60="","",INDEX('Project Plan'!$U$2:$U$201,MATCH($O60,'Project Plan'!$V$2:$V$201,0)))</f>
        <v/>
      </c>
      <c r="O60" s="45" t="str">
        <f>IF(ROW()-1&lt;=MAX('Project Plan'!$V$2:$V$201),ROW()-1,"")</f>
        <v/>
      </c>
    </row>
    <row r="61" spans="1:15" ht="13.9" customHeight="1" x14ac:dyDescent="0.25">
      <c r="A61" s="93" t="str">
        <f>IF($O61="","",INDEX('Project Plan'!$A$2:$A$201,MATCH($O61,'Project Plan'!$V$2:$V$201,0)))</f>
        <v/>
      </c>
      <c r="B61" s="45" t="str">
        <f>IF($O61="","",INDEX('Project Plan'!$B$2:$B$201,MATCH($O61,'Project Plan'!$V$2:$V$201,0)))</f>
        <v/>
      </c>
      <c r="C61" s="45" t="str">
        <f>IF($O61="","",INDEX('Project Plan'!$C$2:$C$201,MATCH($O61,'Project Plan'!$V$2:$V$201,0)))</f>
        <v/>
      </c>
      <c r="D61" s="45" t="str">
        <f>IF($O61="","",INDEX('Project Plan'!$D$2:$D$201,MATCH($O61,'Project Plan'!$V$2:$V$201,0)))</f>
        <v/>
      </c>
      <c r="E61" s="45" t="str">
        <f>IF($O61="","",INDEX('Project Plan'!$G$2:$G$201,MATCH($O61,'Project Plan'!$V$2:$V$201,0)))</f>
        <v/>
      </c>
      <c r="F61" s="46" t="str">
        <f>IF($O61="","",INDEX('Project Plan'!$I$2:$I$201,MATCH($O61,'Project Plan'!$V$2:$V$201,0)))</f>
        <v/>
      </c>
      <c r="G61" s="46" t="str">
        <f>IF($O61="","",INDEX('Project Plan'!$J$2:$J$201,MATCH($O61,'Project Plan'!$V$2:$V$201,0)))</f>
        <v/>
      </c>
      <c r="H61" s="46" t="str">
        <f>IF($O61="","",INDEX('Project Plan'!$M$2:$M$201,MATCH($O61,'Project Plan'!$V$2:$V$201,0)))</f>
        <v/>
      </c>
      <c r="I61" s="45" t="str">
        <f>IF($O61="","",INDEX('Project Plan'!$N$2:$N$201,MATCH($O61,'Project Plan'!$V$2:$V$201,0)))</f>
        <v/>
      </c>
      <c r="J61" s="47" t="str">
        <f>IF($O61="","",INDEX('Project Plan'!$O$2:$O$201,MATCH($O61,'Project Plan'!$V$2:$V$201,0)))</f>
        <v/>
      </c>
      <c r="K61" s="46" t="str">
        <f>IF($O61="","",INDEX('Project Plan'!$R$2:$R$201,MATCH($O61,'Project Plan'!$V$2:$V$201,0)))</f>
        <v/>
      </c>
      <c r="L61" s="38" t="str">
        <f>IF($O61="","",INDEX('Project Plan'!$S$2:$S$201,MATCH($O61,'Project Plan'!$V$2:$V$201,0)))</f>
        <v/>
      </c>
      <c r="M61" s="38" t="str">
        <f>IF($O61="","",INDEX('Project Plan'!$T$2:$T$201,MATCH($O61,'Project Plan'!$V$2:$V$201,0)))</f>
        <v/>
      </c>
      <c r="N61" s="94" t="str">
        <f>IF($O61="","",INDEX('Project Plan'!$U$2:$U$201,MATCH($O61,'Project Plan'!$V$2:$V$201,0)))</f>
        <v/>
      </c>
      <c r="O61" s="45" t="str">
        <f>IF(ROW()-1&lt;=MAX('Project Plan'!$V$2:$V$201),ROW()-1,"")</f>
        <v/>
      </c>
    </row>
    <row r="62" spans="1:15" ht="13.9" customHeight="1" x14ac:dyDescent="0.25">
      <c r="A62" s="93" t="str">
        <f>IF($O62="","",INDEX('Project Plan'!$A$2:$A$201,MATCH($O62,'Project Plan'!$V$2:$V$201,0)))</f>
        <v/>
      </c>
      <c r="B62" s="45" t="str">
        <f>IF($O62="","",INDEX('Project Plan'!$B$2:$B$201,MATCH($O62,'Project Plan'!$V$2:$V$201,0)))</f>
        <v/>
      </c>
      <c r="C62" s="45" t="str">
        <f>IF($O62="","",INDEX('Project Plan'!$C$2:$C$201,MATCH($O62,'Project Plan'!$V$2:$V$201,0)))</f>
        <v/>
      </c>
      <c r="D62" s="45" t="str">
        <f>IF($O62="","",INDEX('Project Plan'!$D$2:$D$201,MATCH($O62,'Project Plan'!$V$2:$V$201,0)))</f>
        <v/>
      </c>
      <c r="E62" s="45" t="str">
        <f>IF($O62="","",INDEX('Project Plan'!$G$2:$G$201,MATCH($O62,'Project Plan'!$V$2:$V$201,0)))</f>
        <v/>
      </c>
      <c r="F62" s="46" t="str">
        <f>IF($O62="","",INDEX('Project Plan'!$I$2:$I$201,MATCH($O62,'Project Plan'!$V$2:$V$201,0)))</f>
        <v/>
      </c>
      <c r="G62" s="46" t="str">
        <f>IF($O62="","",INDEX('Project Plan'!$J$2:$J$201,MATCH($O62,'Project Plan'!$V$2:$V$201,0)))</f>
        <v/>
      </c>
      <c r="H62" s="46" t="str">
        <f>IF($O62="","",INDEX('Project Plan'!$M$2:$M$201,MATCH($O62,'Project Plan'!$V$2:$V$201,0)))</f>
        <v/>
      </c>
      <c r="I62" s="45" t="str">
        <f>IF($O62="","",INDEX('Project Plan'!$N$2:$N$201,MATCH($O62,'Project Plan'!$V$2:$V$201,0)))</f>
        <v/>
      </c>
      <c r="J62" s="47" t="str">
        <f>IF($O62="","",INDEX('Project Plan'!$O$2:$O$201,MATCH($O62,'Project Plan'!$V$2:$V$201,0)))</f>
        <v/>
      </c>
      <c r="K62" s="46" t="str">
        <f>IF($O62="","",INDEX('Project Plan'!$R$2:$R$201,MATCH($O62,'Project Plan'!$V$2:$V$201,0)))</f>
        <v/>
      </c>
      <c r="L62" s="38" t="str">
        <f>IF($O62="","",INDEX('Project Plan'!$S$2:$S$201,MATCH($O62,'Project Plan'!$V$2:$V$201,0)))</f>
        <v/>
      </c>
      <c r="M62" s="38" t="str">
        <f>IF($O62="","",INDEX('Project Plan'!$T$2:$T$201,MATCH($O62,'Project Plan'!$V$2:$V$201,0)))</f>
        <v/>
      </c>
      <c r="N62" s="94" t="str">
        <f>IF($O62="","",INDEX('Project Plan'!$U$2:$U$201,MATCH($O62,'Project Plan'!$V$2:$V$201,0)))</f>
        <v/>
      </c>
      <c r="O62" s="45" t="str">
        <f>IF(ROW()-1&lt;=MAX('Project Plan'!$V$2:$V$201),ROW()-1,"")</f>
        <v/>
      </c>
    </row>
    <row r="63" spans="1:15" ht="13.9" customHeight="1" x14ac:dyDescent="0.25">
      <c r="A63" s="93" t="str">
        <f>IF($O63="","",INDEX('Project Plan'!$A$2:$A$201,MATCH($O63,'Project Plan'!$V$2:$V$201,0)))</f>
        <v/>
      </c>
      <c r="B63" s="45" t="str">
        <f>IF($O63="","",INDEX('Project Plan'!$B$2:$B$201,MATCH($O63,'Project Plan'!$V$2:$V$201,0)))</f>
        <v/>
      </c>
      <c r="C63" s="45" t="str">
        <f>IF($O63="","",INDEX('Project Plan'!$C$2:$C$201,MATCH($O63,'Project Plan'!$V$2:$V$201,0)))</f>
        <v/>
      </c>
      <c r="D63" s="45" t="str">
        <f>IF($O63="","",INDEX('Project Plan'!$D$2:$D$201,MATCH($O63,'Project Plan'!$V$2:$V$201,0)))</f>
        <v/>
      </c>
      <c r="E63" s="45" t="str">
        <f>IF($O63="","",INDEX('Project Plan'!$G$2:$G$201,MATCH($O63,'Project Plan'!$V$2:$V$201,0)))</f>
        <v/>
      </c>
      <c r="F63" s="46" t="str">
        <f>IF($O63="","",INDEX('Project Plan'!$I$2:$I$201,MATCH($O63,'Project Plan'!$V$2:$V$201,0)))</f>
        <v/>
      </c>
      <c r="G63" s="46" t="str">
        <f>IF($O63="","",INDEX('Project Plan'!$J$2:$J$201,MATCH($O63,'Project Plan'!$V$2:$V$201,0)))</f>
        <v/>
      </c>
      <c r="H63" s="46" t="str">
        <f>IF($O63="","",INDEX('Project Plan'!$M$2:$M$201,MATCH($O63,'Project Plan'!$V$2:$V$201,0)))</f>
        <v/>
      </c>
      <c r="I63" s="45" t="str">
        <f>IF($O63="","",INDEX('Project Plan'!$N$2:$N$201,MATCH($O63,'Project Plan'!$V$2:$V$201,0)))</f>
        <v/>
      </c>
      <c r="J63" s="47" t="str">
        <f>IF($O63="","",INDEX('Project Plan'!$O$2:$O$201,MATCH($O63,'Project Plan'!$V$2:$V$201,0)))</f>
        <v/>
      </c>
      <c r="K63" s="46" t="str">
        <f>IF($O63="","",INDEX('Project Plan'!$R$2:$R$201,MATCH($O63,'Project Plan'!$V$2:$V$201,0)))</f>
        <v/>
      </c>
      <c r="L63" s="38" t="str">
        <f>IF($O63="","",INDEX('Project Plan'!$S$2:$S$201,MATCH($O63,'Project Plan'!$V$2:$V$201,0)))</f>
        <v/>
      </c>
      <c r="M63" s="38" t="str">
        <f>IF($O63="","",INDEX('Project Plan'!$T$2:$T$201,MATCH($O63,'Project Plan'!$V$2:$V$201,0)))</f>
        <v/>
      </c>
      <c r="N63" s="94" t="str">
        <f>IF($O63="","",INDEX('Project Plan'!$U$2:$U$201,MATCH($O63,'Project Plan'!$V$2:$V$201,0)))</f>
        <v/>
      </c>
      <c r="O63" s="45" t="str">
        <f>IF(ROW()-1&lt;=MAX('Project Plan'!$V$2:$V$201),ROW()-1,"")</f>
        <v/>
      </c>
    </row>
    <row r="64" spans="1:15" ht="13.9" customHeight="1" x14ac:dyDescent="0.25">
      <c r="A64" s="93" t="str">
        <f>IF($O64="","",INDEX('Project Plan'!$A$2:$A$201,MATCH($O64,'Project Plan'!$V$2:$V$201,0)))</f>
        <v/>
      </c>
      <c r="B64" s="45" t="str">
        <f>IF($O64="","",INDEX('Project Plan'!$B$2:$B$201,MATCH($O64,'Project Plan'!$V$2:$V$201,0)))</f>
        <v/>
      </c>
      <c r="C64" s="45" t="str">
        <f>IF($O64="","",INDEX('Project Plan'!$C$2:$C$201,MATCH($O64,'Project Plan'!$V$2:$V$201,0)))</f>
        <v/>
      </c>
      <c r="D64" s="45" t="str">
        <f>IF($O64="","",INDEX('Project Plan'!$D$2:$D$201,MATCH($O64,'Project Plan'!$V$2:$V$201,0)))</f>
        <v/>
      </c>
      <c r="E64" s="45" t="str">
        <f>IF($O64="","",INDEX('Project Plan'!$G$2:$G$201,MATCH($O64,'Project Plan'!$V$2:$V$201,0)))</f>
        <v/>
      </c>
      <c r="F64" s="46" t="str">
        <f>IF($O64="","",INDEX('Project Plan'!$I$2:$I$201,MATCH($O64,'Project Plan'!$V$2:$V$201,0)))</f>
        <v/>
      </c>
      <c r="G64" s="46" t="str">
        <f>IF($O64="","",INDEX('Project Plan'!$J$2:$J$201,MATCH($O64,'Project Plan'!$V$2:$V$201,0)))</f>
        <v/>
      </c>
      <c r="H64" s="46" t="str">
        <f>IF($O64="","",INDEX('Project Plan'!$M$2:$M$201,MATCH($O64,'Project Plan'!$V$2:$V$201,0)))</f>
        <v/>
      </c>
      <c r="I64" s="45" t="str">
        <f>IF($O64="","",INDEX('Project Plan'!$N$2:$N$201,MATCH($O64,'Project Plan'!$V$2:$V$201,0)))</f>
        <v/>
      </c>
      <c r="J64" s="47" t="str">
        <f>IF($O64="","",INDEX('Project Plan'!$O$2:$O$201,MATCH($O64,'Project Plan'!$V$2:$V$201,0)))</f>
        <v/>
      </c>
      <c r="K64" s="46" t="str">
        <f>IF($O64="","",INDEX('Project Plan'!$R$2:$R$201,MATCH($O64,'Project Plan'!$V$2:$V$201,0)))</f>
        <v/>
      </c>
      <c r="L64" s="38" t="str">
        <f>IF($O64="","",INDEX('Project Plan'!$S$2:$S$201,MATCH($O64,'Project Plan'!$V$2:$V$201,0)))</f>
        <v/>
      </c>
      <c r="M64" s="38" t="str">
        <f>IF($O64="","",INDEX('Project Plan'!$T$2:$T$201,MATCH($O64,'Project Plan'!$V$2:$V$201,0)))</f>
        <v/>
      </c>
      <c r="N64" s="94" t="str">
        <f>IF($O64="","",INDEX('Project Plan'!$U$2:$U$201,MATCH($O64,'Project Plan'!$V$2:$V$201,0)))</f>
        <v/>
      </c>
      <c r="O64" s="45" t="str">
        <f>IF(ROW()-1&lt;=MAX('Project Plan'!$V$2:$V$201),ROW()-1,"")</f>
        <v/>
      </c>
    </row>
    <row r="65" spans="1:15" ht="13.9" customHeight="1" x14ac:dyDescent="0.25">
      <c r="A65" s="93" t="str">
        <f>IF($O65="","",INDEX('Project Plan'!$A$2:$A$201,MATCH($O65,'Project Plan'!$V$2:$V$201,0)))</f>
        <v/>
      </c>
      <c r="B65" s="45" t="str">
        <f>IF($O65="","",INDEX('Project Plan'!$B$2:$B$201,MATCH($O65,'Project Plan'!$V$2:$V$201,0)))</f>
        <v/>
      </c>
      <c r="C65" s="45" t="str">
        <f>IF($O65="","",INDEX('Project Plan'!$C$2:$C$201,MATCH($O65,'Project Plan'!$V$2:$V$201,0)))</f>
        <v/>
      </c>
      <c r="D65" s="45" t="str">
        <f>IF($O65="","",INDEX('Project Plan'!$D$2:$D$201,MATCH($O65,'Project Plan'!$V$2:$V$201,0)))</f>
        <v/>
      </c>
      <c r="E65" s="45" t="str">
        <f>IF($O65="","",INDEX('Project Plan'!$G$2:$G$201,MATCH($O65,'Project Plan'!$V$2:$V$201,0)))</f>
        <v/>
      </c>
      <c r="F65" s="46" t="str">
        <f>IF($O65="","",INDEX('Project Plan'!$I$2:$I$201,MATCH($O65,'Project Plan'!$V$2:$V$201,0)))</f>
        <v/>
      </c>
      <c r="G65" s="46" t="str">
        <f>IF($O65="","",INDEX('Project Plan'!$J$2:$J$201,MATCH($O65,'Project Plan'!$V$2:$V$201,0)))</f>
        <v/>
      </c>
      <c r="H65" s="46" t="str">
        <f>IF($O65="","",INDEX('Project Plan'!$M$2:$M$201,MATCH($O65,'Project Plan'!$V$2:$V$201,0)))</f>
        <v/>
      </c>
      <c r="I65" s="45" t="str">
        <f>IF($O65="","",INDEX('Project Plan'!$N$2:$N$201,MATCH($O65,'Project Plan'!$V$2:$V$201,0)))</f>
        <v/>
      </c>
      <c r="J65" s="47" t="str">
        <f>IF($O65="","",INDEX('Project Plan'!$O$2:$O$201,MATCH($O65,'Project Plan'!$V$2:$V$201,0)))</f>
        <v/>
      </c>
      <c r="K65" s="46" t="str">
        <f>IF($O65="","",INDEX('Project Plan'!$R$2:$R$201,MATCH($O65,'Project Plan'!$V$2:$V$201,0)))</f>
        <v/>
      </c>
      <c r="L65" s="38" t="str">
        <f>IF($O65="","",INDEX('Project Plan'!$S$2:$S$201,MATCH($O65,'Project Plan'!$V$2:$V$201,0)))</f>
        <v/>
      </c>
      <c r="M65" s="38" t="str">
        <f>IF($O65="","",INDEX('Project Plan'!$T$2:$T$201,MATCH($O65,'Project Plan'!$V$2:$V$201,0)))</f>
        <v/>
      </c>
      <c r="N65" s="94" t="str">
        <f>IF($O65="","",INDEX('Project Plan'!$U$2:$U$201,MATCH($O65,'Project Plan'!$V$2:$V$201,0)))</f>
        <v/>
      </c>
      <c r="O65" s="45" t="str">
        <f>IF(ROW()-1&lt;=MAX('Project Plan'!$V$2:$V$201),ROW()-1,"")</f>
        <v/>
      </c>
    </row>
    <row r="66" spans="1:15" ht="13.9" customHeight="1" x14ac:dyDescent="0.25">
      <c r="A66" s="93" t="str">
        <f>IF($O66="","",INDEX('Project Plan'!$A$2:$A$201,MATCH($O66,'Project Plan'!$V$2:$V$201,0)))</f>
        <v/>
      </c>
      <c r="B66" s="45" t="str">
        <f>IF($O66="","",INDEX('Project Plan'!$B$2:$B$201,MATCH($O66,'Project Plan'!$V$2:$V$201,0)))</f>
        <v/>
      </c>
      <c r="C66" s="45" t="str">
        <f>IF($O66="","",INDEX('Project Plan'!$C$2:$C$201,MATCH($O66,'Project Plan'!$V$2:$V$201,0)))</f>
        <v/>
      </c>
      <c r="D66" s="45" t="str">
        <f>IF($O66="","",INDEX('Project Plan'!$D$2:$D$201,MATCH($O66,'Project Plan'!$V$2:$V$201,0)))</f>
        <v/>
      </c>
      <c r="E66" s="45" t="str">
        <f>IF($O66="","",INDEX('Project Plan'!$G$2:$G$201,MATCH($O66,'Project Plan'!$V$2:$V$201,0)))</f>
        <v/>
      </c>
      <c r="F66" s="46" t="str">
        <f>IF($O66="","",INDEX('Project Plan'!$I$2:$I$201,MATCH($O66,'Project Plan'!$V$2:$V$201,0)))</f>
        <v/>
      </c>
      <c r="G66" s="46" t="str">
        <f>IF($O66="","",INDEX('Project Plan'!$J$2:$J$201,MATCH($O66,'Project Plan'!$V$2:$V$201,0)))</f>
        <v/>
      </c>
      <c r="H66" s="46" t="str">
        <f>IF($O66="","",INDEX('Project Plan'!$M$2:$M$201,MATCH($O66,'Project Plan'!$V$2:$V$201,0)))</f>
        <v/>
      </c>
      <c r="I66" s="45" t="str">
        <f>IF($O66="","",INDEX('Project Plan'!$N$2:$N$201,MATCH($O66,'Project Plan'!$V$2:$V$201,0)))</f>
        <v/>
      </c>
      <c r="J66" s="47" t="str">
        <f>IF($O66="","",INDEX('Project Plan'!$O$2:$O$201,MATCH($O66,'Project Plan'!$V$2:$V$201,0)))</f>
        <v/>
      </c>
      <c r="K66" s="46" t="str">
        <f>IF($O66="","",INDEX('Project Plan'!$R$2:$R$201,MATCH($O66,'Project Plan'!$V$2:$V$201,0)))</f>
        <v/>
      </c>
      <c r="L66" s="38" t="str">
        <f>IF($O66="","",INDEX('Project Plan'!$S$2:$S$201,MATCH($O66,'Project Plan'!$V$2:$V$201,0)))</f>
        <v/>
      </c>
      <c r="M66" s="38" t="str">
        <f>IF($O66="","",INDEX('Project Plan'!$T$2:$T$201,MATCH($O66,'Project Plan'!$V$2:$V$201,0)))</f>
        <v/>
      </c>
      <c r="N66" s="94" t="str">
        <f>IF($O66="","",INDEX('Project Plan'!$U$2:$U$201,MATCH($O66,'Project Plan'!$V$2:$V$201,0)))</f>
        <v/>
      </c>
      <c r="O66" s="45" t="str">
        <f>IF(ROW()-1&lt;=MAX('Project Plan'!$V$2:$V$201),ROW()-1,"")</f>
        <v/>
      </c>
    </row>
    <row r="67" spans="1:15" ht="13.9" customHeight="1" x14ac:dyDescent="0.25">
      <c r="A67" s="93" t="str">
        <f>IF($O67="","",INDEX('Project Plan'!$A$2:$A$201,MATCH($O67,'Project Plan'!$V$2:$V$201,0)))</f>
        <v/>
      </c>
      <c r="B67" s="45" t="str">
        <f>IF($O67="","",INDEX('Project Plan'!$B$2:$B$201,MATCH($O67,'Project Plan'!$V$2:$V$201,0)))</f>
        <v/>
      </c>
      <c r="C67" s="45" t="str">
        <f>IF($O67="","",INDEX('Project Plan'!$C$2:$C$201,MATCH($O67,'Project Plan'!$V$2:$V$201,0)))</f>
        <v/>
      </c>
      <c r="D67" s="45" t="str">
        <f>IF($O67="","",INDEX('Project Plan'!$D$2:$D$201,MATCH($O67,'Project Plan'!$V$2:$V$201,0)))</f>
        <v/>
      </c>
      <c r="E67" s="45" t="str">
        <f>IF($O67="","",INDEX('Project Plan'!$G$2:$G$201,MATCH($O67,'Project Plan'!$V$2:$V$201,0)))</f>
        <v/>
      </c>
      <c r="F67" s="46" t="str">
        <f>IF($O67="","",INDEX('Project Plan'!$I$2:$I$201,MATCH($O67,'Project Plan'!$V$2:$V$201,0)))</f>
        <v/>
      </c>
      <c r="G67" s="46" t="str">
        <f>IF($O67="","",INDEX('Project Plan'!$J$2:$J$201,MATCH($O67,'Project Plan'!$V$2:$V$201,0)))</f>
        <v/>
      </c>
      <c r="H67" s="46" t="str">
        <f>IF($O67="","",INDEX('Project Plan'!$M$2:$M$201,MATCH($O67,'Project Plan'!$V$2:$V$201,0)))</f>
        <v/>
      </c>
      <c r="I67" s="45" t="str">
        <f>IF($O67="","",INDEX('Project Plan'!$N$2:$N$201,MATCH($O67,'Project Plan'!$V$2:$V$201,0)))</f>
        <v/>
      </c>
      <c r="J67" s="47" t="str">
        <f>IF($O67="","",INDEX('Project Plan'!$O$2:$O$201,MATCH($O67,'Project Plan'!$V$2:$V$201,0)))</f>
        <v/>
      </c>
      <c r="K67" s="46" t="str">
        <f>IF($O67="","",INDEX('Project Plan'!$R$2:$R$201,MATCH($O67,'Project Plan'!$V$2:$V$201,0)))</f>
        <v/>
      </c>
      <c r="L67" s="38" t="str">
        <f>IF($O67="","",INDEX('Project Plan'!$S$2:$S$201,MATCH($O67,'Project Plan'!$V$2:$V$201,0)))</f>
        <v/>
      </c>
      <c r="M67" s="38" t="str">
        <f>IF($O67="","",INDEX('Project Plan'!$T$2:$T$201,MATCH($O67,'Project Plan'!$V$2:$V$201,0)))</f>
        <v/>
      </c>
      <c r="N67" s="94" t="str">
        <f>IF($O67="","",INDEX('Project Plan'!$U$2:$U$201,MATCH($O67,'Project Plan'!$V$2:$V$201,0)))</f>
        <v/>
      </c>
      <c r="O67" s="45" t="str">
        <f>IF(ROW()-1&lt;=MAX('Project Plan'!$V$2:$V$201),ROW()-1,"")</f>
        <v/>
      </c>
    </row>
    <row r="68" spans="1:15" ht="13.9" customHeight="1" x14ac:dyDescent="0.25">
      <c r="A68" s="93" t="str">
        <f>IF($O68="","",INDEX('Project Plan'!$A$2:$A$201,MATCH($O68,'Project Plan'!$V$2:$V$201,0)))</f>
        <v/>
      </c>
      <c r="B68" s="45" t="str">
        <f>IF($O68="","",INDEX('Project Plan'!$B$2:$B$201,MATCH($O68,'Project Plan'!$V$2:$V$201,0)))</f>
        <v/>
      </c>
      <c r="C68" s="45" t="str">
        <f>IF($O68="","",INDEX('Project Plan'!$C$2:$C$201,MATCH($O68,'Project Plan'!$V$2:$V$201,0)))</f>
        <v/>
      </c>
      <c r="D68" s="45" t="str">
        <f>IF($O68="","",INDEX('Project Plan'!$D$2:$D$201,MATCH($O68,'Project Plan'!$V$2:$V$201,0)))</f>
        <v/>
      </c>
      <c r="E68" s="45" t="str">
        <f>IF($O68="","",INDEX('Project Plan'!$G$2:$G$201,MATCH($O68,'Project Plan'!$V$2:$V$201,0)))</f>
        <v/>
      </c>
      <c r="F68" s="46" t="str">
        <f>IF($O68="","",INDEX('Project Plan'!$I$2:$I$201,MATCH($O68,'Project Plan'!$V$2:$V$201,0)))</f>
        <v/>
      </c>
      <c r="G68" s="46" t="str">
        <f>IF($O68="","",INDEX('Project Plan'!$J$2:$J$201,MATCH($O68,'Project Plan'!$V$2:$V$201,0)))</f>
        <v/>
      </c>
      <c r="H68" s="46" t="str">
        <f>IF($O68="","",INDEX('Project Plan'!$M$2:$M$201,MATCH($O68,'Project Plan'!$V$2:$V$201,0)))</f>
        <v/>
      </c>
      <c r="I68" s="45" t="str">
        <f>IF($O68="","",INDEX('Project Plan'!$N$2:$N$201,MATCH($O68,'Project Plan'!$V$2:$V$201,0)))</f>
        <v/>
      </c>
      <c r="J68" s="47" t="str">
        <f>IF($O68="","",INDEX('Project Plan'!$O$2:$O$201,MATCH($O68,'Project Plan'!$V$2:$V$201,0)))</f>
        <v/>
      </c>
      <c r="K68" s="46" t="str">
        <f>IF($O68="","",INDEX('Project Plan'!$R$2:$R$201,MATCH($O68,'Project Plan'!$V$2:$V$201,0)))</f>
        <v/>
      </c>
      <c r="L68" s="38" t="str">
        <f>IF($O68="","",INDEX('Project Plan'!$S$2:$S$201,MATCH($O68,'Project Plan'!$V$2:$V$201,0)))</f>
        <v/>
      </c>
      <c r="M68" s="38" t="str">
        <f>IF($O68="","",INDEX('Project Plan'!$T$2:$T$201,MATCH($O68,'Project Plan'!$V$2:$V$201,0)))</f>
        <v/>
      </c>
      <c r="N68" s="94" t="str">
        <f>IF($O68="","",INDEX('Project Plan'!$U$2:$U$201,MATCH($O68,'Project Plan'!$V$2:$V$201,0)))</f>
        <v/>
      </c>
      <c r="O68" s="45" t="str">
        <f>IF(ROW()-1&lt;=MAX('Project Plan'!$V$2:$V$201),ROW()-1,"")</f>
        <v/>
      </c>
    </row>
    <row r="69" spans="1:15" ht="13.9" customHeight="1" x14ac:dyDescent="0.25">
      <c r="A69" s="93" t="str">
        <f>IF($O69="","",INDEX('Project Plan'!$A$2:$A$201,MATCH($O69,'Project Plan'!$V$2:$V$201,0)))</f>
        <v/>
      </c>
      <c r="B69" s="45" t="str">
        <f>IF($O69="","",INDEX('Project Plan'!$B$2:$B$201,MATCH($O69,'Project Plan'!$V$2:$V$201,0)))</f>
        <v/>
      </c>
      <c r="C69" s="45" t="str">
        <f>IF($O69="","",INDEX('Project Plan'!$C$2:$C$201,MATCH($O69,'Project Plan'!$V$2:$V$201,0)))</f>
        <v/>
      </c>
      <c r="D69" s="45" t="str">
        <f>IF($O69="","",INDEX('Project Plan'!$D$2:$D$201,MATCH($O69,'Project Plan'!$V$2:$V$201,0)))</f>
        <v/>
      </c>
      <c r="E69" s="45" t="str">
        <f>IF($O69="","",INDEX('Project Plan'!$G$2:$G$201,MATCH($O69,'Project Plan'!$V$2:$V$201,0)))</f>
        <v/>
      </c>
      <c r="F69" s="46" t="str">
        <f>IF($O69="","",INDEX('Project Plan'!$I$2:$I$201,MATCH($O69,'Project Plan'!$V$2:$V$201,0)))</f>
        <v/>
      </c>
      <c r="G69" s="46" t="str">
        <f>IF($O69="","",INDEX('Project Plan'!$J$2:$J$201,MATCH($O69,'Project Plan'!$V$2:$V$201,0)))</f>
        <v/>
      </c>
      <c r="H69" s="46" t="str">
        <f>IF($O69="","",INDEX('Project Plan'!$M$2:$M$201,MATCH($O69,'Project Plan'!$V$2:$V$201,0)))</f>
        <v/>
      </c>
      <c r="I69" s="45" t="str">
        <f>IF($O69="","",INDEX('Project Plan'!$N$2:$N$201,MATCH($O69,'Project Plan'!$V$2:$V$201,0)))</f>
        <v/>
      </c>
      <c r="J69" s="47" t="str">
        <f>IF($O69="","",INDEX('Project Plan'!$O$2:$O$201,MATCH($O69,'Project Plan'!$V$2:$V$201,0)))</f>
        <v/>
      </c>
      <c r="K69" s="46" t="str">
        <f>IF($O69="","",INDEX('Project Plan'!$R$2:$R$201,MATCH($O69,'Project Plan'!$V$2:$V$201,0)))</f>
        <v/>
      </c>
      <c r="L69" s="38" t="str">
        <f>IF($O69="","",INDEX('Project Plan'!$S$2:$S$201,MATCH($O69,'Project Plan'!$V$2:$V$201,0)))</f>
        <v/>
      </c>
      <c r="M69" s="38" t="str">
        <f>IF($O69="","",INDEX('Project Plan'!$T$2:$T$201,MATCH($O69,'Project Plan'!$V$2:$V$201,0)))</f>
        <v/>
      </c>
      <c r="N69" s="94" t="str">
        <f>IF($O69="","",INDEX('Project Plan'!$U$2:$U$201,MATCH($O69,'Project Plan'!$V$2:$V$201,0)))</f>
        <v/>
      </c>
      <c r="O69" s="45" t="str">
        <f>IF(ROW()-1&lt;=MAX('Project Plan'!$V$2:$V$201),ROW()-1,"")</f>
        <v/>
      </c>
    </row>
    <row r="70" spans="1:15" ht="13.9" customHeight="1" x14ac:dyDescent="0.25">
      <c r="A70" s="93" t="str">
        <f>IF($O70="","",INDEX('Project Plan'!$A$2:$A$201,MATCH($O70,'Project Plan'!$V$2:$V$201,0)))</f>
        <v/>
      </c>
      <c r="B70" s="45" t="str">
        <f>IF($O70="","",INDEX('Project Plan'!$B$2:$B$201,MATCH($O70,'Project Plan'!$V$2:$V$201,0)))</f>
        <v/>
      </c>
      <c r="C70" s="45" t="str">
        <f>IF($O70="","",INDEX('Project Plan'!$C$2:$C$201,MATCH($O70,'Project Plan'!$V$2:$V$201,0)))</f>
        <v/>
      </c>
      <c r="D70" s="45" t="str">
        <f>IF($O70="","",INDEX('Project Plan'!$D$2:$D$201,MATCH($O70,'Project Plan'!$V$2:$V$201,0)))</f>
        <v/>
      </c>
      <c r="E70" s="45" t="str">
        <f>IF($O70="","",INDEX('Project Plan'!$G$2:$G$201,MATCH($O70,'Project Plan'!$V$2:$V$201,0)))</f>
        <v/>
      </c>
      <c r="F70" s="46" t="str">
        <f>IF($O70="","",INDEX('Project Plan'!$I$2:$I$201,MATCH($O70,'Project Plan'!$V$2:$V$201,0)))</f>
        <v/>
      </c>
      <c r="G70" s="46" t="str">
        <f>IF($O70="","",INDEX('Project Plan'!$J$2:$J$201,MATCH($O70,'Project Plan'!$V$2:$V$201,0)))</f>
        <v/>
      </c>
      <c r="H70" s="46" t="str">
        <f>IF($O70="","",INDEX('Project Plan'!$M$2:$M$201,MATCH($O70,'Project Plan'!$V$2:$V$201,0)))</f>
        <v/>
      </c>
      <c r="I70" s="45" t="str">
        <f>IF($O70="","",INDEX('Project Plan'!$N$2:$N$201,MATCH($O70,'Project Plan'!$V$2:$V$201,0)))</f>
        <v/>
      </c>
      <c r="J70" s="47" t="str">
        <f>IF($O70="","",INDEX('Project Plan'!$O$2:$O$201,MATCH($O70,'Project Plan'!$V$2:$V$201,0)))</f>
        <v/>
      </c>
      <c r="K70" s="46" t="str">
        <f>IF($O70="","",INDEX('Project Plan'!$R$2:$R$201,MATCH($O70,'Project Plan'!$V$2:$V$201,0)))</f>
        <v/>
      </c>
      <c r="L70" s="38" t="str">
        <f>IF($O70="","",INDEX('Project Plan'!$S$2:$S$201,MATCH($O70,'Project Plan'!$V$2:$V$201,0)))</f>
        <v/>
      </c>
      <c r="M70" s="38" t="str">
        <f>IF($O70="","",INDEX('Project Plan'!$T$2:$T$201,MATCH($O70,'Project Plan'!$V$2:$V$201,0)))</f>
        <v/>
      </c>
      <c r="N70" s="94" t="str">
        <f>IF($O70="","",INDEX('Project Plan'!$U$2:$U$201,MATCH($O70,'Project Plan'!$V$2:$V$201,0)))</f>
        <v/>
      </c>
      <c r="O70" s="45" t="str">
        <f>IF(ROW()-1&lt;=MAX('Project Plan'!$V$2:$V$201),ROW()-1,"")</f>
        <v/>
      </c>
    </row>
    <row r="71" spans="1:15" ht="13.9" customHeight="1" x14ac:dyDescent="0.25">
      <c r="A71" s="93" t="str">
        <f>IF($O71="","",INDEX('Project Plan'!$A$2:$A$201,MATCH($O71,'Project Plan'!$V$2:$V$201,0)))</f>
        <v/>
      </c>
      <c r="B71" s="45" t="str">
        <f>IF($O71="","",INDEX('Project Plan'!$B$2:$B$201,MATCH($O71,'Project Plan'!$V$2:$V$201,0)))</f>
        <v/>
      </c>
      <c r="C71" s="45" t="str">
        <f>IF($O71="","",INDEX('Project Plan'!$C$2:$C$201,MATCH($O71,'Project Plan'!$V$2:$V$201,0)))</f>
        <v/>
      </c>
      <c r="D71" s="45" t="str">
        <f>IF($O71="","",INDEX('Project Plan'!$D$2:$D$201,MATCH($O71,'Project Plan'!$V$2:$V$201,0)))</f>
        <v/>
      </c>
      <c r="E71" s="45" t="str">
        <f>IF($O71="","",INDEX('Project Plan'!$G$2:$G$201,MATCH($O71,'Project Plan'!$V$2:$V$201,0)))</f>
        <v/>
      </c>
      <c r="F71" s="46" t="str">
        <f>IF($O71="","",INDEX('Project Plan'!$I$2:$I$201,MATCH($O71,'Project Plan'!$V$2:$V$201,0)))</f>
        <v/>
      </c>
      <c r="G71" s="46" t="str">
        <f>IF($O71="","",INDEX('Project Plan'!$J$2:$J$201,MATCH($O71,'Project Plan'!$V$2:$V$201,0)))</f>
        <v/>
      </c>
      <c r="H71" s="46" t="str">
        <f>IF($O71="","",INDEX('Project Plan'!$M$2:$M$201,MATCH($O71,'Project Plan'!$V$2:$V$201,0)))</f>
        <v/>
      </c>
      <c r="I71" s="45" t="str">
        <f>IF($O71="","",INDEX('Project Plan'!$N$2:$N$201,MATCH($O71,'Project Plan'!$V$2:$V$201,0)))</f>
        <v/>
      </c>
      <c r="J71" s="47" t="str">
        <f>IF($O71="","",INDEX('Project Plan'!$O$2:$O$201,MATCH($O71,'Project Plan'!$V$2:$V$201,0)))</f>
        <v/>
      </c>
      <c r="K71" s="46" t="str">
        <f>IF($O71="","",INDEX('Project Plan'!$R$2:$R$201,MATCH($O71,'Project Plan'!$V$2:$V$201,0)))</f>
        <v/>
      </c>
      <c r="L71" s="38" t="str">
        <f>IF($O71="","",INDEX('Project Plan'!$S$2:$S$201,MATCH($O71,'Project Plan'!$V$2:$V$201,0)))</f>
        <v/>
      </c>
      <c r="M71" s="38" t="str">
        <f>IF($O71="","",INDEX('Project Plan'!$T$2:$T$201,MATCH($O71,'Project Plan'!$V$2:$V$201,0)))</f>
        <v/>
      </c>
      <c r="N71" s="94" t="str">
        <f>IF($O71="","",INDEX('Project Plan'!$U$2:$U$201,MATCH($O71,'Project Plan'!$V$2:$V$201,0)))</f>
        <v/>
      </c>
      <c r="O71" s="45" t="str">
        <f>IF(ROW()-1&lt;=MAX('Project Plan'!$V$2:$V$201),ROW()-1,"")</f>
        <v/>
      </c>
    </row>
    <row r="72" spans="1:15" ht="13.9" customHeight="1" x14ac:dyDescent="0.25">
      <c r="A72" s="93" t="str">
        <f>IF($O72="","",INDEX('Project Plan'!$A$2:$A$201,MATCH($O72,'Project Plan'!$V$2:$V$201,0)))</f>
        <v/>
      </c>
      <c r="B72" s="45" t="str">
        <f>IF($O72="","",INDEX('Project Plan'!$B$2:$B$201,MATCH($O72,'Project Plan'!$V$2:$V$201,0)))</f>
        <v/>
      </c>
      <c r="C72" s="45" t="str">
        <f>IF($O72="","",INDEX('Project Plan'!$C$2:$C$201,MATCH($O72,'Project Plan'!$V$2:$V$201,0)))</f>
        <v/>
      </c>
      <c r="D72" s="45" t="str">
        <f>IF($O72="","",INDEX('Project Plan'!$D$2:$D$201,MATCH($O72,'Project Plan'!$V$2:$V$201,0)))</f>
        <v/>
      </c>
      <c r="E72" s="45" t="str">
        <f>IF($O72="","",INDEX('Project Plan'!$G$2:$G$201,MATCH($O72,'Project Plan'!$V$2:$V$201,0)))</f>
        <v/>
      </c>
      <c r="F72" s="46" t="str">
        <f>IF($O72="","",INDEX('Project Plan'!$I$2:$I$201,MATCH($O72,'Project Plan'!$V$2:$V$201,0)))</f>
        <v/>
      </c>
      <c r="G72" s="46" t="str">
        <f>IF($O72="","",INDEX('Project Plan'!$J$2:$J$201,MATCH($O72,'Project Plan'!$V$2:$V$201,0)))</f>
        <v/>
      </c>
      <c r="H72" s="46" t="str">
        <f>IF($O72="","",INDEX('Project Plan'!$M$2:$M$201,MATCH($O72,'Project Plan'!$V$2:$V$201,0)))</f>
        <v/>
      </c>
      <c r="I72" s="45" t="str">
        <f>IF($O72="","",INDEX('Project Plan'!$N$2:$N$201,MATCH($O72,'Project Plan'!$V$2:$V$201,0)))</f>
        <v/>
      </c>
      <c r="J72" s="47" t="str">
        <f>IF($O72="","",INDEX('Project Plan'!$O$2:$O$201,MATCH($O72,'Project Plan'!$V$2:$V$201,0)))</f>
        <v/>
      </c>
      <c r="K72" s="46" t="str">
        <f>IF($O72="","",INDEX('Project Plan'!$R$2:$R$201,MATCH($O72,'Project Plan'!$V$2:$V$201,0)))</f>
        <v/>
      </c>
      <c r="L72" s="38" t="str">
        <f>IF($O72="","",INDEX('Project Plan'!$S$2:$S$201,MATCH($O72,'Project Plan'!$V$2:$V$201,0)))</f>
        <v/>
      </c>
      <c r="M72" s="38" t="str">
        <f>IF($O72="","",INDEX('Project Plan'!$T$2:$T$201,MATCH($O72,'Project Plan'!$V$2:$V$201,0)))</f>
        <v/>
      </c>
      <c r="N72" s="94" t="str">
        <f>IF($O72="","",INDEX('Project Plan'!$U$2:$U$201,MATCH($O72,'Project Plan'!$V$2:$V$201,0)))</f>
        <v/>
      </c>
      <c r="O72" s="45" t="str">
        <f>IF(ROW()-1&lt;=MAX('Project Plan'!$V$2:$V$201),ROW()-1,"")</f>
        <v/>
      </c>
    </row>
    <row r="73" spans="1:15" ht="13.9" customHeight="1" x14ac:dyDescent="0.25">
      <c r="A73" s="93" t="str">
        <f>IF($O73="","",INDEX('Project Plan'!$A$2:$A$201,MATCH($O73,'Project Plan'!$V$2:$V$201,0)))</f>
        <v/>
      </c>
      <c r="B73" s="45" t="str">
        <f>IF($O73="","",INDEX('Project Plan'!$B$2:$B$201,MATCH($O73,'Project Plan'!$V$2:$V$201,0)))</f>
        <v/>
      </c>
      <c r="C73" s="45" t="str">
        <f>IF($O73="","",INDEX('Project Plan'!$C$2:$C$201,MATCH($O73,'Project Plan'!$V$2:$V$201,0)))</f>
        <v/>
      </c>
      <c r="D73" s="45" t="str">
        <f>IF($O73="","",INDEX('Project Plan'!$D$2:$D$201,MATCH($O73,'Project Plan'!$V$2:$V$201,0)))</f>
        <v/>
      </c>
      <c r="E73" s="45" t="str">
        <f>IF($O73="","",INDEX('Project Plan'!$G$2:$G$201,MATCH($O73,'Project Plan'!$V$2:$V$201,0)))</f>
        <v/>
      </c>
      <c r="F73" s="46" t="str">
        <f>IF($O73="","",INDEX('Project Plan'!$I$2:$I$201,MATCH($O73,'Project Plan'!$V$2:$V$201,0)))</f>
        <v/>
      </c>
      <c r="G73" s="46" t="str">
        <f>IF($O73="","",INDEX('Project Plan'!$J$2:$J$201,MATCH($O73,'Project Plan'!$V$2:$V$201,0)))</f>
        <v/>
      </c>
      <c r="H73" s="46" t="str">
        <f>IF($O73="","",INDEX('Project Plan'!$M$2:$M$201,MATCH($O73,'Project Plan'!$V$2:$V$201,0)))</f>
        <v/>
      </c>
      <c r="I73" s="45" t="str">
        <f>IF($O73="","",INDEX('Project Plan'!$N$2:$N$201,MATCH($O73,'Project Plan'!$V$2:$V$201,0)))</f>
        <v/>
      </c>
      <c r="J73" s="47" t="str">
        <f>IF($O73="","",INDEX('Project Plan'!$O$2:$O$201,MATCH($O73,'Project Plan'!$V$2:$V$201,0)))</f>
        <v/>
      </c>
      <c r="K73" s="46" t="str">
        <f>IF($O73="","",INDEX('Project Plan'!$R$2:$R$201,MATCH($O73,'Project Plan'!$V$2:$V$201,0)))</f>
        <v/>
      </c>
      <c r="L73" s="38" t="str">
        <f>IF($O73="","",INDEX('Project Plan'!$S$2:$S$201,MATCH($O73,'Project Plan'!$V$2:$V$201,0)))</f>
        <v/>
      </c>
      <c r="M73" s="38" t="str">
        <f>IF($O73="","",INDEX('Project Plan'!$T$2:$T$201,MATCH($O73,'Project Plan'!$V$2:$V$201,0)))</f>
        <v/>
      </c>
      <c r="N73" s="94" t="str">
        <f>IF($O73="","",INDEX('Project Plan'!$U$2:$U$201,MATCH($O73,'Project Plan'!$V$2:$V$201,0)))</f>
        <v/>
      </c>
      <c r="O73" s="45" t="str">
        <f>IF(ROW()-1&lt;=MAX('Project Plan'!$V$2:$V$201),ROW()-1,"")</f>
        <v/>
      </c>
    </row>
    <row r="74" spans="1:15" ht="13.9" customHeight="1" x14ac:dyDescent="0.25">
      <c r="A74" s="93" t="str">
        <f>IF($O74="","",INDEX('Project Plan'!$A$2:$A$201,MATCH($O74,'Project Plan'!$V$2:$V$201,0)))</f>
        <v/>
      </c>
      <c r="B74" s="45" t="str">
        <f>IF($O74="","",INDEX('Project Plan'!$B$2:$B$201,MATCH($O74,'Project Plan'!$V$2:$V$201,0)))</f>
        <v/>
      </c>
      <c r="C74" s="45" t="str">
        <f>IF($O74="","",INDEX('Project Plan'!$C$2:$C$201,MATCH($O74,'Project Plan'!$V$2:$V$201,0)))</f>
        <v/>
      </c>
      <c r="D74" s="45" t="str">
        <f>IF($O74="","",INDEX('Project Plan'!$D$2:$D$201,MATCH($O74,'Project Plan'!$V$2:$V$201,0)))</f>
        <v/>
      </c>
      <c r="E74" s="45" t="str">
        <f>IF($O74="","",INDEX('Project Plan'!$G$2:$G$201,MATCH($O74,'Project Plan'!$V$2:$V$201,0)))</f>
        <v/>
      </c>
      <c r="F74" s="46" t="str">
        <f>IF($O74="","",INDEX('Project Plan'!$I$2:$I$201,MATCH($O74,'Project Plan'!$V$2:$V$201,0)))</f>
        <v/>
      </c>
      <c r="G74" s="46" t="str">
        <f>IF($O74="","",INDEX('Project Plan'!$J$2:$J$201,MATCH($O74,'Project Plan'!$V$2:$V$201,0)))</f>
        <v/>
      </c>
      <c r="H74" s="46" t="str">
        <f>IF($O74="","",INDEX('Project Plan'!$M$2:$M$201,MATCH($O74,'Project Plan'!$V$2:$V$201,0)))</f>
        <v/>
      </c>
      <c r="I74" s="45" t="str">
        <f>IF($O74="","",INDEX('Project Plan'!$N$2:$N$201,MATCH($O74,'Project Plan'!$V$2:$V$201,0)))</f>
        <v/>
      </c>
      <c r="J74" s="47" t="str">
        <f>IF($O74="","",INDEX('Project Plan'!$O$2:$O$201,MATCH($O74,'Project Plan'!$V$2:$V$201,0)))</f>
        <v/>
      </c>
      <c r="K74" s="46" t="str">
        <f>IF($O74="","",INDEX('Project Plan'!$R$2:$R$201,MATCH($O74,'Project Plan'!$V$2:$V$201,0)))</f>
        <v/>
      </c>
      <c r="L74" s="38" t="str">
        <f>IF($O74="","",INDEX('Project Plan'!$S$2:$S$201,MATCH($O74,'Project Plan'!$V$2:$V$201,0)))</f>
        <v/>
      </c>
      <c r="M74" s="38" t="str">
        <f>IF($O74="","",INDEX('Project Plan'!$T$2:$T$201,MATCH($O74,'Project Plan'!$V$2:$V$201,0)))</f>
        <v/>
      </c>
      <c r="N74" s="94" t="str">
        <f>IF($O74="","",INDEX('Project Plan'!$U$2:$U$201,MATCH($O74,'Project Plan'!$V$2:$V$201,0)))</f>
        <v/>
      </c>
      <c r="O74" s="45" t="str">
        <f>IF(ROW()-1&lt;=MAX('Project Plan'!$V$2:$V$201),ROW()-1,"")</f>
        <v/>
      </c>
    </row>
    <row r="75" spans="1:15" ht="13.9" customHeight="1" x14ac:dyDescent="0.25">
      <c r="A75" s="93" t="str">
        <f>IF($O75="","",INDEX('Project Plan'!$A$2:$A$201,MATCH($O75,'Project Plan'!$V$2:$V$201,0)))</f>
        <v/>
      </c>
      <c r="B75" s="45" t="str">
        <f>IF($O75="","",INDEX('Project Plan'!$B$2:$B$201,MATCH($O75,'Project Plan'!$V$2:$V$201,0)))</f>
        <v/>
      </c>
      <c r="C75" s="45" t="str">
        <f>IF($O75="","",INDEX('Project Plan'!$C$2:$C$201,MATCH($O75,'Project Plan'!$V$2:$V$201,0)))</f>
        <v/>
      </c>
      <c r="D75" s="45" t="str">
        <f>IF($O75="","",INDEX('Project Plan'!$D$2:$D$201,MATCH($O75,'Project Plan'!$V$2:$V$201,0)))</f>
        <v/>
      </c>
      <c r="E75" s="45" t="str">
        <f>IF($O75="","",INDEX('Project Plan'!$G$2:$G$201,MATCH($O75,'Project Plan'!$V$2:$V$201,0)))</f>
        <v/>
      </c>
      <c r="F75" s="46" t="str">
        <f>IF($O75="","",INDEX('Project Plan'!$I$2:$I$201,MATCH($O75,'Project Plan'!$V$2:$V$201,0)))</f>
        <v/>
      </c>
      <c r="G75" s="46" t="str">
        <f>IF($O75="","",INDEX('Project Plan'!$J$2:$J$201,MATCH($O75,'Project Plan'!$V$2:$V$201,0)))</f>
        <v/>
      </c>
      <c r="H75" s="46" t="str">
        <f>IF($O75="","",INDEX('Project Plan'!$M$2:$M$201,MATCH($O75,'Project Plan'!$V$2:$V$201,0)))</f>
        <v/>
      </c>
      <c r="I75" s="45" t="str">
        <f>IF($O75="","",INDEX('Project Plan'!$N$2:$N$201,MATCH($O75,'Project Plan'!$V$2:$V$201,0)))</f>
        <v/>
      </c>
      <c r="J75" s="47" t="str">
        <f>IF($O75="","",INDEX('Project Plan'!$O$2:$O$201,MATCH($O75,'Project Plan'!$V$2:$V$201,0)))</f>
        <v/>
      </c>
      <c r="K75" s="46" t="str">
        <f>IF($O75="","",INDEX('Project Plan'!$R$2:$R$201,MATCH($O75,'Project Plan'!$V$2:$V$201,0)))</f>
        <v/>
      </c>
      <c r="L75" s="38" t="str">
        <f>IF($O75="","",INDEX('Project Plan'!$S$2:$S$201,MATCH($O75,'Project Plan'!$V$2:$V$201,0)))</f>
        <v/>
      </c>
      <c r="M75" s="38" t="str">
        <f>IF($O75="","",INDEX('Project Plan'!$T$2:$T$201,MATCH($O75,'Project Plan'!$V$2:$V$201,0)))</f>
        <v/>
      </c>
      <c r="N75" s="94" t="str">
        <f>IF($O75="","",INDEX('Project Plan'!$U$2:$U$201,MATCH($O75,'Project Plan'!$V$2:$V$201,0)))</f>
        <v/>
      </c>
      <c r="O75" s="45" t="str">
        <f>IF(ROW()-1&lt;=MAX('Project Plan'!$V$2:$V$201),ROW()-1,"")</f>
        <v/>
      </c>
    </row>
    <row r="76" spans="1:15" ht="13.9" customHeight="1" x14ac:dyDescent="0.25">
      <c r="A76" s="93" t="str">
        <f>IF($O76="","",INDEX('Project Plan'!$A$2:$A$201,MATCH($O76,'Project Plan'!$V$2:$V$201,0)))</f>
        <v/>
      </c>
      <c r="B76" s="45" t="str">
        <f>IF($O76="","",INDEX('Project Plan'!$B$2:$B$201,MATCH($O76,'Project Plan'!$V$2:$V$201,0)))</f>
        <v/>
      </c>
      <c r="C76" s="45" t="str">
        <f>IF($O76="","",INDEX('Project Plan'!$C$2:$C$201,MATCH($O76,'Project Plan'!$V$2:$V$201,0)))</f>
        <v/>
      </c>
      <c r="D76" s="45" t="str">
        <f>IF($O76="","",INDEX('Project Plan'!$D$2:$D$201,MATCH($O76,'Project Plan'!$V$2:$V$201,0)))</f>
        <v/>
      </c>
      <c r="E76" s="45" t="str">
        <f>IF($O76="","",INDEX('Project Plan'!$G$2:$G$201,MATCH($O76,'Project Plan'!$V$2:$V$201,0)))</f>
        <v/>
      </c>
      <c r="F76" s="46" t="str">
        <f>IF($O76="","",INDEX('Project Plan'!$I$2:$I$201,MATCH($O76,'Project Plan'!$V$2:$V$201,0)))</f>
        <v/>
      </c>
      <c r="G76" s="46" t="str">
        <f>IF($O76="","",INDEX('Project Plan'!$J$2:$J$201,MATCH($O76,'Project Plan'!$V$2:$V$201,0)))</f>
        <v/>
      </c>
      <c r="H76" s="46" t="str">
        <f>IF($O76="","",INDEX('Project Plan'!$M$2:$M$201,MATCH($O76,'Project Plan'!$V$2:$V$201,0)))</f>
        <v/>
      </c>
      <c r="I76" s="45" t="str">
        <f>IF($O76="","",INDEX('Project Plan'!$N$2:$N$201,MATCH($O76,'Project Plan'!$V$2:$V$201,0)))</f>
        <v/>
      </c>
      <c r="J76" s="47" t="str">
        <f>IF($O76="","",INDEX('Project Plan'!$O$2:$O$201,MATCH($O76,'Project Plan'!$V$2:$V$201,0)))</f>
        <v/>
      </c>
      <c r="K76" s="46" t="str">
        <f>IF($O76="","",INDEX('Project Plan'!$R$2:$R$201,MATCH($O76,'Project Plan'!$V$2:$V$201,0)))</f>
        <v/>
      </c>
      <c r="L76" s="38" t="str">
        <f>IF($O76="","",INDEX('Project Plan'!$S$2:$S$201,MATCH($O76,'Project Plan'!$V$2:$V$201,0)))</f>
        <v/>
      </c>
      <c r="M76" s="38" t="str">
        <f>IF($O76="","",INDEX('Project Plan'!$T$2:$T$201,MATCH($O76,'Project Plan'!$V$2:$V$201,0)))</f>
        <v/>
      </c>
      <c r="N76" s="94" t="str">
        <f>IF($O76="","",INDEX('Project Plan'!$U$2:$U$201,MATCH($O76,'Project Plan'!$V$2:$V$201,0)))</f>
        <v/>
      </c>
      <c r="O76" s="45" t="str">
        <f>IF(ROW()-1&lt;=MAX('Project Plan'!$V$2:$V$201),ROW()-1,"")</f>
        <v/>
      </c>
    </row>
    <row r="77" spans="1:15" ht="13.9" customHeight="1" x14ac:dyDescent="0.25">
      <c r="A77" s="93" t="str">
        <f>IF($O77="","",INDEX('Project Plan'!$A$2:$A$201,MATCH($O77,'Project Plan'!$V$2:$V$201,0)))</f>
        <v/>
      </c>
      <c r="B77" s="45" t="str">
        <f>IF($O77="","",INDEX('Project Plan'!$B$2:$B$201,MATCH($O77,'Project Plan'!$V$2:$V$201,0)))</f>
        <v/>
      </c>
      <c r="C77" s="45" t="str">
        <f>IF($O77="","",INDEX('Project Plan'!$C$2:$C$201,MATCH($O77,'Project Plan'!$V$2:$V$201,0)))</f>
        <v/>
      </c>
      <c r="D77" s="45" t="str">
        <f>IF($O77="","",INDEX('Project Plan'!$D$2:$D$201,MATCH($O77,'Project Plan'!$V$2:$V$201,0)))</f>
        <v/>
      </c>
      <c r="E77" s="45" t="str">
        <f>IF($O77="","",INDEX('Project Plan'!$G$2:$G$201,MATCH($O77,'Project Plan'!$V$2:$V$201,0)))</f>
        <v/>
      </c>
      <c r="F77" s="46" t="str">
        <f>IF($O77="","",INDEX('Project Plan'!$I$2:$I$201,MATCH($O77,'Project Plan'!$V$2:$V$201,0)))</f>
        <v/>
      </c>
      <c r="G77" s="46" t="str">
        <f>IF($O77="","",INDEX('Project Plan'!$J$2:$J$201,MATCH($O77,'Project Plan'!$V$2:$V$201,0)))</f>
        <v/>
      </c>
      <c r="H77" s="46" t="str">
        <f>IF($O77="","",INDEX('Project Plan'!$M$2:$M$201,MATCH($O77,'Project Plan'!$V$2:$V$201,0)))</f>
        <v/>
      </c>
      <c r="I77" s="45" t="str">
        <f>IF($O77="","",INDEX('Project Plan'!$N$2:$N$201,MATCH($O77,'Project Plan'!$V$2:$V$201,0)))</f>
        <v/>
      </c>
      <c r="J77" s="47" t="str">
        <f>IF($O77="","",INDEX('Project Plan'!$O$2:$O$201,MATCH($O77,'Project Plan'!$V$2:$V$201,0)))</f>
        <v/>
      </c>
      <c r="K77" s="46" t="str">
        <f>IF($O77="","",INDEX('Project Plan'!$R$2:$R$201,MATCH($O77,'Project Plan'!$V$2:$V$201,0)))</f>
        <v/>
      </c>
      <c r="L77" s="38" t="str">
        <f>IF($O77="","",INDEX('Project Plan'!$S$2:$S$201,MATCH($O77,'Project Plan'!$V$2:$V$201,0)))</f>
        <v/>
      </c>
      <c r="M77" s="38" t="str">
        <f>IF($O77="","",INDEX('Project Plan'!$T$2:$T$201,MATCH($O77,'Project Plan'!$V$2:$V$201,0)))</f>
        <v/>
      </c>
      <c r="N77" s="94" t="str">
        <f>IF($O77="","",INDEX('Project Plan'!$U$2:$U$201,MATCH($O77,'Project Plan'!$V$2:$V$201,0)))</f>
        <v/>
      </c>
      <c r="O77" s="45" t="str">
        <f>IF(ROW()-1&lt;=MAX('Project Plan'!$V$2:$V$201),ROW()-1,"")</f>
        <v/>
      </c>
    </row>
    <row r="78" spans="1:15" ht="13.9" customHeight="1" x14ac:dyDescent="0.25">
      <c r="A78" s="93" t="str">
        <f>IF($O78="","",INDEX('Project Plan'!$A$2:$A$201,MATCH($O78,'Project Plan'!$V$2:$V$201,0)))</f>
        <v/>
      </c>
      <c r="B78" s="45" t="str">
        <f>IF($O78="","",INDEX('Project Plan'!$B$2:$B$201,MATCH($O78,'Project Plan'!$V$2:$V$201,0)))</f>
        <v/>
      </c>
      <c r="C78" s="45" t="str">
        <f>IF($O78="","",INDEX('Project Plan'!$C$2:$C$201,MATCH($O78,'Project Plan'!$V$2:$V$201,0)))</f>
        <v/>
      </c>
      <c r="D78" s="45" t="str">
        <f>IF($O78="","",INDEX('Project Plan'!$D$2:$D$201,MATCH($O78,'Project Plan'!$V$2:$V$201,0)))</f>
        <v/>
      </c>
      <c r="E78" s="45" t="str">
        <f>IF($O78="","",INDEX('Project Plan'!$G$2:$G$201,MATCH($O78,'Project Plan'!$V$2:$V$201,0)))</f>
        <v/>
      </c>
      <c r="F78" s="46" t="str">
        <f>IF($O78="","",INDEX('Project Plan'!$I$2:$I$201,MATCH($O78,'Project Plan'!$V$2:$V$201,0)))</f>
        <v/>
      </c>
      <c r="G78" s="46" t="str">
        <f>IF($O78="","",INDEX('Project Plan'!$J$2:$J$201,MATCH($O78,'Project Plan'!$V$2:$V$201,0)))</f>
        <v/>
      </c>
      <c r="H78" s="46" t="str">
        <f>IF($O78="","",INDEX('Project Plan'!$M$2:$M$201,MATCH($O78,'Project Plan'!$V$2:$V$201,0)))</f>
        <v/>
      </c>
      <c r="I78" s="45" t="str">
        <f>IF($O78="","",INDEX('Project Plan'!$N$2:$N$201,MATCH($O78,'Project Plan'!$V$2:$V$201,0)))</f>
        <v/>
      </c>
      <c r="J78" s="47" t="str">
        <f>IF($O78="","",INDEX('Project Plan'!$O$2:$O$201,MATCH($O78,'Project Plan'!$V$2:$V$201,0)))</f>
        <v/>
      </c>
      <c r="K78" s="46" t="str">
        <f>IF($O78="","",INDEX('Project Plan'!$R$2:$R$201,MATCH($O78,'Project Plan'!$V$2:$V$201,0)))</f>
        <v/>
      </c>
      <c r="L78" s="38" t="str">
        <f>IF($O78="","",INDEX('Project Plan'!$S$2:$S$201,MATCH($O78,'Project Plan'!$V$2:$V$201,0)))</f>
        <v/>
      </c>
      <c r="M78" s="38" t="str">
        <f>IF($O78="","",INDEX('Project Plan'!$T$2:$T$201,MATCH($O78,'Project Plan'!$V$2:$V$201,0)))</f>
        <v/>
      </c>
      <c r="N78" s="94" t="str">
        <f>IF($O78="","",INDEX('Project Plan'!$U$2:$U$201,MATCH($O78,'Project Plan'!$V$2:$V$201,0)))</f>
        <v/>
      </c>
      <c r="O78" s="45" t="str">
        <f>IF(ROW()-1&lt;=MAX('Project Plan'!$V$2:$V$201),ROW()-1,"")</f>
        <v/>
      </c>
    </row>
    <row r="79" spans="1:15" ht="13.9" customHeight="1" x14ac:dyDescent="0.25">
      <c r="A79" s="93" t="str">
        <f>IF($O79="","",INDEX('Project Plan'!$A$2:$A$201,MATCH($O79,'Project Plan'!$V$2:$V$201,0)))</f>
        <v/>
      </c>
      <c r="B79" s="45" t="str">
        <f>IF($O79="","",INDEX('Project Plan'!$B$2:$B$201,MATCH($O79,'Project Plan'!$V$2:$V$201,0)))</f>
        <v/>
      </c>
      <c r="C79" s="45" t="str">
        <f>IF($O79="","",INDEX('Project Plan'!$C$2:$C$201,MATCH($O79,'Project Plan'!$V$2:$V$201,0)))</f>
        <v/>
      </c>
      <c r="D79" s="45" t="str">
        <f>IF($O79="","",INDEX('Project Plan'!$D$2:$D$201,MATCH($O79,'Project Plan'!$V$2:$V$201,0)))</f>
        <v/>
      </c>
      <c r="E79" s="45" t="str">
        <f>IF($O79="","",INDEX('Project Plan'!$G$2:$G$201,MATCH($O79,'Project Plan'!$V$2:$V$201,0)))</f>
        <v/>
      </c>
      <c r="F79" s="46" t="str">
        <f>IF($O79="","",INDEX('Project Plan'!$I$2:$I$201,MATCH($O79,'Project Plan'!$V$2:$V$201,0)))</f>
        <v/>
      </c>
      <c r="G79" s="46" t="str">
        <f>IF($O79="","",INDEX('Project Plan'!$J$2:$J$201,MATCH($O79,'Project Plan'!$V$2:$V$201,0)))</f>
        <v/>
      </c>
      <c r="H79" s="46" t="str">
        <f>IF($O79="","",INDEX('Project Plan'!$M$2:$M$201,MATCH($O79,'Project Plan'!$V$2:$V$201,0)))</f>
        <v/>
      </c>
      <c r="I79" s="45" t="str">
        <f>IF($O79="","",INDEX('Project Plan'!$N$2:$N$201,MATCH($O79,'Project Plan'!$V$2:$V$201,0)))</f>
        <v/>
      </c>
      <c r="J79" s="47" t="str">
        <f>IF($O79="","",INDEX('Project Plan'!$O$2:$O$201,MATCH($O79,'Project Plan'!$V$2:$V$201,0)))</f>
        <v/>
      </c>
      <c r="K79" s="46" t="str">
        <f>IF($O79="","",INDEX('Project Plan'!$R$2:$R$201,MATCH($O79,'Project Plan'!$V$2:$V$201,0)))</f>
        <v/>
      </c>
      <c r="L79" s="38" t="str">
        <f>IF($O79="","",INDEX('Project Plan'!$S$2:$S$201,MATCH($O79,'Project Plan'!$V$2:$V$201,0)))</f>
        <v/>
      </c>
      <c r="M79" s="38" t="str">
        <f>IF($O79="","",INDEX('Project Plan'!$T$2:$T$201,MATCH($O79,'Project Plan'!$V$2:$V$201,0)))</f>
        <v/>
      </c>
      <c r="N79" s="94" t="str">
        <f>IF($O79="","",INDEX('Project Plan'!$U$2:$U$201,MATCH($O79,'Project Plan'!$V$2:$V$201,0)))</f>
        <v/>
      </c>
      <c r="O79" s="45" t="str">
        <f>IF(ROW()-1&lt;=MAX('Project Plan'!$V$2:$V$201),ROW()-1,"")</f>
        <v/>
      </c>
    </row>
    <row r="80" spans="1:15" ht="13.9" customHeight="1" x14ac:dyDescent="0.25">
      <c r="A80" s="93" t="str">
        <f>IF($O80="","",INDEX('Project Plan'!$A$2:$A$201,MATCH($O80,'Project Plan'!$V$2:$V$201,0)))</f>
        <v/>
      </c>
      <c r="B80" s="45" t="str">
        <f>IF($O80="","",INDEX('Project Plan'!$B$2:$B$201,MATCH($O80,'Project Plan'!$V$2:$V$201,0)))</f>
        <v/>
      </c>
      <c r="C80" s="45" t="str">
        <f>IF($O80="","",INDEX('Project Plan'!$C$2:$C$201,MATCH($O80,'Project Plan'!$V$2:$V$201,0)))</f>
        <v/>
      </c>
      <c r="D80" s="45" t="str">
        <f>IF($O80="","",INDEX('Project Plan'!$D$2:$D$201,MATCH($O80,'Project Plan'!$V$2:$V$201,0)))</f>
        <v/>
      </c>
      <c r="E80" s="45" t="str">
        <f>IF($O80="","",INDEX('Project Plan'!$G$2:$G$201,MATCH($O80,'Project Plan'!$V$2:$V$201,0)))</f>
        <v/>
      </c>
      <c r="F80" s="46" t="str">
        <f>IF($O80="","",INDEX('Project Plan'!$I$2:$I$201,MATCH($O80,'Project Plan'!$V$2:$V$201,0)))</f>
        <v/>
      </c>
      <c r="G80" s="46" t="str">
        <f>IF($O80="","",INDEX('Project Plan'!$J$2:$J$201,MATCH($O80,'Project Plan'!$V$2:$V$201,0)))</f>
        <v/>
      </c>
      <c r="H80" s="46" t="str">
        <f>IF($O80="","",INDEX('Project Plan'!$M$2:$M$201,MATCH($O80,'Project Plan'!$V$2:$V$201,0)))</f>
        <v/>
      </c>
      <c r="I80" s="45" t="str">
        <f>IF($O80="","",INDEX('Project Plan'!$N$2:$N$201,MATCH($O80,'Project Plan'!$V$2:$V$201,0)))</f>
        <v/>
      </c>
      <c r="J80" s="47" t="str">
        <f>IF($O80="","",INDEX('Project Plan'!$O$2:$O$201,MATCH($O80,'Project Plan'!$V$2:$V$201,0)))</f>
        <v/>
      </c>
      <c r="K80" s="46" t="str">
        <f>IF($O80="","",INDEX('Project Plan'!$R$2:$R$201,MATCH($O80,'Project Plan'!$V$2:$V$201,0)))</f>
        <v/>
      </c>
      <c r="L80" s="38" t="str">
        <f>IF($O80="","",INDEX('Project Plan'!$S$2:$S$201,MATCH($O80,'Project Plan'!$V$2:$V$201,0)))</f>
        <v/>
      </c>
      <c r="M80" s="38" t="str">
        <f>IF($O80="","",INDEX('Project Plan'!$T$2:$T$201,MATCH($O80,'Project Plan'!$V$2:$V$201,0)))</f>
        <v/>
      </c>
      <c r="N80" s="94" t="str">
        <f>IF($O80="","",INDEX('Project Plan'!$U$2:$U$201,MATCH($O80,'Project Plan'!$V$2:$V$201,0)))</f>
        <v/>
      </c>
      <c r="O80" s="45" t="str">
        <f>IF(ROW()-1&lt;=MAX('Project Plan'!$V$2:$V$201),ROW()-1,"")</f>
        <v/>
      </c>
    </row>
    <row r="81" spans="1:15" ht="13.9" customHeight="1" x14ac:dyDescent="0.25">
      <c r="A81" s="93" t="str">
        <f>IF($O81="","",INDEX('Project Plan'!$A$2:$A$201,MATCH($O81,'Project Plan'!$V$2:$V$201,0)))</f>
        <v/>
      </c>
      <c r="B81" s="45" t="str">
        <f>IF($O81="","",INDEX('Project Plan'!$B$2:$B$201,MATCH($O81,'Project Plan'!$V$2:$V$201,0)))</f>
        <v/>
      </c>
      <c r="C81" s="45" t="str">
        <f>IF($O81="","",INDEX('Project Plan'!$C$2:$C$201,MATCH($O81,'Project Plan'!$V$2:$V$201,0)))</f>
        <v/>
      </c>
      <c r="D81" s="45" t="str">
        <f>IF($O81="","",INDEX('Project Plan'!$D$2:$D$201,MATCH($O81,'Project Plan'!$V$2:$V$201,0)))</f>
        <v/>
      </c>
      <c r="E81" s="45" t="str">
        <f>IF($O81="","",INDEX('Project Plan'!$G$2:$G$201,MATCH($O81,'Project Plan'!$V$2:$V$201,0)))</f>
        <v/>
      </c>
      <c r="F81" s="46" t="str">
        <f>IF($O81="","",INDEX('Project Plan'!$I$2:$I$201,MATCH($O81,'Project Plan'!$V$2:$V$201,0)))</f>
        <v/>
      </c>
      <c r="G81" s="46" t="str">
        <f>IF($O81="","",INDEX('Project Plan'!$J$2:$J$201,MATCH($O81,'Project Plan'!$V$2:$V$201,0)))</f>
        <v/>
      </c>
      <c r="H81" s="46" t="str">
        <f>IF($O81="","",INDEX('Project Plan'!$M$2:$M$201,MATCH($O81,'Project Plan'!$V$2:$V$201,0)))</f>
        <v/>
      </c>
      <c r="I81" s="45" t="str">
        <f>IF($O81="","",INDEX('Project Plan'!$N$2:$N$201,MATCH($O81,'Project Plan'!$V$2:$V$201,0)))</f>
        <v/>
      </c>
      <c r="J81" s="47" t="str">
        <f>IF($O81="","",INDEX('Project Plan'!$O$2:$O$201,MATCH($O81,'Project Plan'!$V$2:$V$201,0)))</f>
        <v/>
      </c>
      <c r="K81" s="46" t="str">
        <f>IF($O81="","",INDEX('Project Plan'!$R$2:$R$201,MATCH($O81,'Project Plan'!$V$2:$V$201,0)))</f>
        <v/>
      </c>
      <c r="L81" s="38" t="str">
        <f>IF($O81="","",INDEX('Project Plan'!$S$2:$S$201,MATCH($O81,'Project Plan'!$V$2:$V$201,0)))</f>
        <v/>
      </c>
      <c r="M81" s="38" t="str">
        <f>IF($O81="","",INDEX('Project Plan'!$T$2:$T$201,MATCH($O81,'Project Plan'!$V$2:$V$201,0)))</f>
        <v/>
      </c>
      <c r="N81" s="94" t="str">
        <f>IF($O81="","",INDEX('Project Plan'!$U$2:$U$201,MATCH($O81,'Project Plan'!$V$2:$V$201,0)))</f>
        <v/>
      </c>
      <c r="O81" s="45" t="str">
        <f>IF(ROW()-1&lt;=MAX('Project Plan'!$V$2:$V$201),ROW()-1,"")</f>
        <v/>
      </c>
    </row>
    <row r="82" spans="1:15" ht="13.9" customHeight="1" x14ac:dyDescent="0.25">
      <c r="A82" s="93" t="str">
        <f>IF($O82="","",INDEX('Project Plan'!$A$2:$A$201,MATCH($O82,'Project Plan'!$V$2:$V$201,0)))</f>
        <v/>
      </c>
      <c r="B82" s="45" t="str">
        <f>IF($O82="","",INDEX('Project Plan'!$B$2:$B$201,MATCH($O82,'Project Plan'!$V$2:$V$201,0)))</f>
        <v/>
      </c>
      <c r="C82" s="45" t="str">
        <f>IF($O82="","",INDEX('Project Plan'!$C$2:$C$201,MATCH($O82,'Project Plan'!$V$2:$V$201,0)))</f>
        <v/>
      </c>
      <c r="D82" s="45" t="str">
        <f>IF($O82="","",INDEX('Project Plan'!$D$2:$D$201,MATCH($O82,'Project Plan'!$V$2:$V$201,0)))</f>
        <v/>
      </c>
      <c r="E82" s="45" t="str">
        <f>IF($O82="","",INDEX('Project Plan'!$G$2:$G$201,MATCH($O82,'Project Plan'!$V$2:$V$201,0)))</f>
        <v/>
      </c>
      <c r="F82" s="46" t="str">
        <f>IF($O82="","",INDEX('Project Plan'!$I$2:$I$201,MATCH($O82,'Project Plan'!$V$2:$V$201,0)))</f>
        <v/>
      </c>
      <c r="G82" s="46" t="str">
        <f>IF($O82="","",INDEX('Project Plan'!$J$2:$J$201,MATCH($O82,'Project Plan'!$V$2:$V$201,0)))</f>
        <v/>
      </c>
      <c r="H82" s="46" t="str">
        <f>IF($O82="","",INDEX('Project Plan'!$M$2:$M$201,MATCH($O82,'Project Plan'!$V$2:$V$201,0)))</f>
        <v/>
      </c>
      <c r="I82" s="45" t="str">
        <f>IF($O82="","",INDEX('Project Plan'!$N$2:$N$201,MATCH($O82,'Project Plan'!$V$2:$V$201,0)))</f>
        <v/>
      </c>
      <c r="J82" s="47" t="str">
        <f>IF($O82="","",INDEX('Project Plan'!$O$2:$O$201,MATCH($O82,'Project Plan'!$V$2:$V$201,0)))</f>
        <v/>
      </c>
      <c r="K82" s="46" t="str">
        <f>IF($O82="","",INDEX('Project Plan'!$R$2:$R$201,MATCH($O82,'Project Plan'!$V$2:$V$201,0)))</f>
        <v/>
      </c>
      <c r="L82" s="38" t="str">
        <f>IF($O82="","",INDEX('Project Plan'!$S$2:$S$201,MATCH($O82,'Project Plan'!$V$2:$V$201,0)))</f>
        <v/>
      </c>
      <c r="M82" s="38" t="str">
        <f>IF($O82="","",INDEX('Project Plan'!$T$2:$T$201,MATCH($O82,'Project Plan'!$V$2:$V$201,0)))</f>
        <v/>
      </c>
      <c r="N82" s="94" t="str">
        <f>IF($O82="","",INDEX('Project Plan'!$U$2:$U$201,MATCH($O82,'Project Plan'!$V$2:$V$201,0)))</f>
        <v/>
      </c>
      <c r="O82" s="45" t="str">
        <f>IF(ROW()-1&lt;=MAX('Project Plan'!$V$2:$V$201),ROW()-1,"")</f>
        <v/>
      </c>
    </row>
    <row r="83" spans="1:15" ht="13.9" customHeight="1" x14ac:dyDescent="0.25">
      <c r="A83" s="93" t="str">
        <f>IF($O83="","",INDEX('Project Plan'!$A$2:$A$201,MATCH($O83,'Project Plan'!$V$2:$V$201,0)))</f>
        <v/>
      </c>
      <c r="B83" s="45" t="str">
        <f>IF($O83="","",INDEX('Project Plan'!$B$2:$B$201,MATCH($O83,'Project Plan'!$V$2:$V$201,0)))</f>
        <v/>
      </c>
      <c r="C83" s="45" t="str">
        <f>IF($O83="","",INDEX('Project Plan'!$C$2:$C$201,MATCH($O83,'Project Plan'!$V$2:$V$201,0)))</f>
        <v/>
      </c>
      <c r="D83" s="45" t="str">
        <f>IF($O83="","",INDEX('Project Plan'!$D$2:$D$201,MATCH($O83,'Project Plan'!$V$2:$V$201,0)))</f>
        <v/>
      </c>
      <c r="E83" s="45" t="str">
        <f>IF($O83="","",INDEX('Project Plan'!$G$2:$G$201,MATCH($O83,'Project Plan'!$V$2:$V$201,0)))</f>
        <v/>
      </c>
      <c r="F83" s="46" t="str">
        <f>IF($O83="","",INDEX('Project Plan'!$I$2:$I$201,MATCH($O83,'Project Plan'!$V$2:$V$201,0)))</f>
        <v/>
      </c>
      <c r="G83" s="46" t="str">
        <f>IF($O83="","",INDEX('Project Plan'!$J$2:$J$201,MATCH($O83,'Project Plan'!$V$2:$V$201,0)))</f>
        <v/>
      </c>
      <c r="H83" s="46" t="str">
        <f>IF($O83="","",INDEX('Project Plan'!$M$2:$M$201,MATCH($O83,'Project Plan'!$V$2:$V$201,0)))</f>
        <v/>
      </c>
      <c r="I83" s="45" t="str">
        <f>IF($O83="","",INDEX('Project Plan'!$N$2:$N$201,MATCH($O83,'Project Plan'!$V$2:$V$201,0)))</f>
        <v/>
      </c>
      <c r="J83" s="47" t="str">
        <f>IF($O83="","",INDEX('Project Plan'!$O$2:$O$201,MATCH($O83,'Project Plan'!$V$2:$V$201,0)))</f>
        <v/>
      </c>
      <c r="K83" s="46" t="str">
        <f>IF($O83="","",INDEX('Project Plan'!$R$2:$R$201,MATCH($O83,'Project Plan'!$V$2:$V$201,0)))</f>
        <v/>
      </c>
      <c r="L83" s="38" t="str">
        <f>IF($O83="","",INDEX('Project Plan'!$S$2:$S$201,MATCH($O83,'Project Plan'!$V$2:$V$201,0)))</f>
        <v/>
      </c>
      <c r="M83" s="38" t="str">
        <f>IF($O83="","",INDEX('Project Plan'!$T$2:$T$201,MATCH($O83,'Project Plan'!$V$2:$V$201,0)))</f>
        <v/>
      </c>
      <c r="N83" s="94" t="str">
        <f>IF($O83="","",INDEX('Project Plan'!$U$2:$U$201,MATCH($O83,'Project Plan'!$V$2:$V$201,0)))</f>
        <v/>
      </c>
      <c r="O83" s="45" t="str">
        <f>IF(ROW()-1&lt;=MAX('Project Plan'!$V$2:$V$201),ROW()-1,"")</f>
        <v/>
      </c>
    </row>
    <row r="84" spans="1:15" ht="13.9" customHeight="1" x14ac:dyDescent="0.25">
      <c r="A84" s="93" t="str">
        <f>IF($O84="","",INDEX('Project Plan'!$A$2:$A$201,MATCH($O84,'Project Plan'!$V$2:$V$201,0)))</f>
        <v/>
      </c>
      <c r="B84" s="45" t="str">
        <f>IF($O84="","",INDEX('Project Plan'!$B$2:$B$201,MATCH($O84,'Project Plan'!$V$2:$V$201,0)))</f>
        <v/>
      </c>
      <c r="C84" s="45" t="str">
        <f>IF($O84="","",INDEX('Project Plan'!$C$2:$C$201,MATCH($O84,'Project Plan'!$V$2:$V$201,0)))</f>
        <v/>
      </c>
      <c r="D84" s="45" t="str">
        <f>IF($O84="","",INDEX('Project Plan'!$D$2:$D$201,MATCH($O84,'Project Plan'!$V$2:$V$201,0)))</f>
        <v/>
      </c>
      <c r="E84" s="45" t="str">
        <f>IF($O84="","",INDEX('Project Plan'!$G$2:$G$201,MATCH($O84,'Project Plan'!$V$2:$V$201,0)))</f>
        <v/>
      </c>
      <c r="F84" s="46" t="str">
        <f>IF($O84="","",INDEX('Project Plan'!$I$2:$I$201,MATCH($O84,'Project Plan'!$V$2:$V$201,0)))</f>
        <v/>
      </c>
      <c r="G84" s="46" t="str">
        <f>IF($O84="","",INDEX('Project Plan'!$J$2:$J$201,MATCH($O84,'Project Plan'!$V$2:$V$201,0)))</f>
        <v/>
      </c>
      <c r="H84" s="46" t="str">
        <f>IF($O84="","",INDEX('Project Plan'!$M$2:$M$201,MATCH($O84,'Project Plan'!$V$2:$V$201,0)))</f>
        <v/>
      </c>
      <c r="I84" s="45" t="str">
        <f>IF($O84="","",INDEX('Project Plan'!$N$2:$N$201,MATCH($O84,'Project Plan'!$V$2:$V$201,0)))</f>
        <v/>
      </c>
      <c r="J84" s="47" t="str">
        <f>IF($O84="","",INDEX('Project Plan'!$O$2:$O$201,MATCH($O84,'Project Plan'!$V$2:$V$201,0)))</f>
        <v/>
      </c>
      <c r="K84" s="46" t="str">
        <f>IF($O84="","",INDEX('Project Plan'!$R$2:$R$201,MATCH($O84,'Project Plan'!$V$2:$V$201,0)))</f>
        <v/>
      </c>
      <c r="L84" s="38" t="str">
        <f>IF($O84="","",INDEX('Project Plan'!$S$2:$S$201,MATCH($O84,'Project Plan'!$V$2:$V$201,0)))</f>
        <v/>
      </c>
      <c r="M84" s="38" t="str">
        <f>IF($O84="","",INDEX('Project Plan'!$T$2:$T$201,MATCH($O84,'Project Plan'!$V$2:$V$201,0)))</f>
        <v/>
      </c>
      <c r="N84" s="94" t="str">
        <f>IF($O84="","",INDEX('Project Plan'!$U$2:$U$201,MATCH($O84,'Project Plan'!$V$2:$V$201,0)))</f>
        <v/>
      </c>
      <c r="O84" s="45" t="str">
        <f>IF(ROW()-1&lt;=MAX('Project Plan'!$V$2:$V$201),ROW()-1,"")</f>
        <v/>
      </c>
    </row>
    <row r="85" spans="1:15" ht="13.9" customHeight="1" x14ac:dyDescent="0.25">
      <c r="A85" s="93" t="str">
        <f>IF($O85="","",INDEX('Project Plan'!$A$2:$A$201,MATCH($O85,'Project Plan'!$V$2:$V$201,0)))</f>
        <v/>
      </c>
      <c r="B85" s="45" t="str">
        <f>IF($O85="","",INDEX('Project Plan'!$B$2:$B$201,MATCH($O85,'Project Plan'!$V$2:$V$201,0)))</f>
        <v/>
      </c>
      <c r="C85" s="45" t="str">
        <f>IF($O85="","",INDEX('Project Plan'!$C$2:$C$201,MATCH($O85,'Project Plan'!$V$2:$V$201,0)))</f>
        <v/>
      </c>
      <c r="D85" s="45" t="str">
        <f>IF($O85="","",INDEX('Project Plan'!$D$2:$D$201,MATCH($O85,'Project Plan'!$V$2:$V$201,0)))</f>
        <v/>
      </c>
      <c r="E85" s="45" t="str">
        <f>IF($O85="","",INDEX('Project Plan'!$G$2:$G$201,MATCH($O85,'Project Plan'!$V$2:$V$201,0)))</f>
        <v/>
      </c>
      <c r="F85" s="46" t="str">
        <f>IF($O85="","",INDEX('Project Plan'!$I$2:$I$201,MATCH($O85,'Project Plan'!$V$2:$V$201,0)))</f>
        <v/>
      </c>
      <c r="G85" s="46" t="str">
        <f>IF($O85="","",INDEX('Project Plan'!$J$2:$J$201,MATCH($O85,'Project Plan'!$V$2:$V$201,0)))</f>
        <v/>
      </c>
      <c r="H85" s="46" t="str">
        <f>IF($O85="","",INDEX('Project Plan'!$M$2:$M$201,MATCH($O85,'Project Plan'!$V$2:$V$201,0)))</f>
        <v/>
      </c>
      <c r="I85" s="45" t="str">
        <f>IF($O85="","",INDEX('Project Plan'!$N$2:$N$201,MATCH($O85,'Project Plan'!$V$2:$V$201,0)))</f>
        <v/>
      </c>
      <c r="J85" s="47" t="str">
        <f>IF($O85="","",INDEX('Project Plan'!$O$2:$O$201,MATCH($O85,'Project Plan'!$V$2:$V$201,0)))</f>
        <v/>
      </c>
      <c r="K85" s="46" t="str">
        <f>IF($O85="","",INDEX('Project Plan'!$R$2:$R$201,MATCH($O85,'Project Plan'!$V$2:$V$201,0)))</f>
        <v/>
      </c>
      <c r="L85" s="38" t="str">
        <f>IF($O85="","",INDEX('Project Plan'!$S$2:$S$201,MATCH($O85,'Project Plan'!$V$2:$V$201,0)))</f>
        <v/>
      </c>
      <c r="M85" s="38" t="str">
        <f>IF($O85="","",INDEX('Project Plan'!$T$2:$T$201,MATCH($O85,'Project Plan'!$V$2:$V$201,0)))</f>
        <v/>
      </c>
      <c r="N85" s="94" t="str">
        <f>IF($O85="","",INDEX('Project Plan'!$U$2:$U$201,MATCH($O85,'Project Plan'!$V$2:$V$201,0)))</f>
        <v/>
      </c>
      <c r="O85" s="45" t="str">
        <f>IF(ROW()-1&lt;=MAX('Project Plan'!$V$2:$V$201),ROW()-1,"")</f>
        <v/>
      </c>
    </row>
    <row r="86" spans="1:15" ht="13.9" customHeight="1" x14ac:dyDescent="0.25">
      <c r="A86" s="93" t="str">
        <f>IF($O86="","",INDEX('Project Plan'!$A$2:$A$201,MATCH($O86,'Project Plan'!$V$2:$V$201,0)))</f>
        <v/>
      </c>
      <c r="B86" s="45" t="str">
        <f>IF($O86="","",INDEX('Project Plan'!$B$2:$B$201,MATCH($O86,'Project Plan'!$V$2:$V$201,0)))</f>
        <v/>
      </c>
      <c r="C86" s="45" t="str">
        <f>IF($O86="","",INDEX('Project Plan'!$C$2:$C$201,MATCH($O86,'Project Plan'!$V$2:$V$201,0)))</f>
        <v/>
      </c>
      <c r="D86" s="45" t="str">
        <f>IF($O86="","",INDEX('Project Plan'!$D$2:$D$201,MATCH($O86,'Project Plan'!$V$2:$V$201,0)))</f>
        <v/>
      </c>
      <c r="E86" s="45" t="str">
        <f>IF($O86="","",INDEX('Project Plan'!$G$2:$G$201,MATCH($O86,'Project Plan'!$V$2:$V$201,0)))</f>
        <v/>
      </c>
      <c r="F86" s="46" t="str">
        <f>IF($O86="","",INDEX('Project Plan'!$I$2:$I$201,MATCH($O86,'Project Plan'!$V$2:$V$201,0)))</f>
        <v/>
      </c>
      <c r="G86" s="46" t="str">
        <f>IF($O86="","",INDEX('Project Plan'!$J$2:$J$201,MATCH($O86,'Project Plan'!$V$2:$V$201,0)))</f>
        <v/>
      </c>
      <c r="H86" s="46" t="str">
        <f>IF($O86="","",INDEX('Project Plan'!$M$2:$M$201,MATCH($O86,'Project Plan'!$V$2:$V$201,0)))</f>
        <v/>
      </c>
      <c r="I86" s="45" t="str">
        <f>IF($O86="","",INDEX('Project Plan'!$N$2:$N$201,MATCH($O86,'Project Plan'!$V$2:$V$201,0)))</f>
        <v/>
      </c>
      <c r="J86" s="47" t="str">
        <f>IF($O86="","",INDEX('Project Plan'!$O$2:$O$201,MATCH($O86,'Project Plan'!$V$2:$V$201,0)))</f>
        <v/>
      </c>
      <c r="K86" s="46" t="str">
        <f>IF($O86="","",INDEX('Project Plan'!$R$2:$R$201,MATCH($O86,'Project Plan'!$V$2:$V$201,0)))</f>
        <v/>
      </c>
      <c r="L86" s="38" t="str">
        <f>IF($O86="","",INDEX('Project Plan'!$S$2:$S$201,MATCH($O86,'Project Plan'!$V$2:$V$201,0)))</f>
        <v/>
      </c>
      <c r="M86" s="38" t="str">
        <f>IF($O86="","",INDEX('Project Plan'!$T$2:$T$201,MATCH($O86,'Project Plan'!$V$2:$V$201,0)))</f>
        <v/>
      </c>
      <c r="N86" s="94" t="str">
        <f>IF($O86="","",INDEX('Project Plan'!$U$2:$U$201,MATCH($O86,'Project Plan'!$V$2:$V$201,0)))</f>
        <v/>
      </c>
      <c r="O86" s="45" t="str">
        <f>IF(ROW()-1&lt;=MAX('Project Plan'!$V$2:$V$201),ROW()-1,"")</f>
        <v/>
      </c>
    </row>
    <row r="87" spans="1:15" ht="13.9" customHeight="1" x14ac:dyDescent="0.25">
      <c r="A87" s="93" t="str">
        <f>IF($O87="","",INDEX('Project Plan'!$A$2:$A$201,MATCH($O87,'Project Plan'!$V$2:$V$201,0)))</f>
        <v/>
      </c>
      <c r="B87" s="45" t="str">
        <f>IF($O87="","",INDEX('Project Plan'!$B$2:$B$201,MATCH($O87,'Project Plan'!$V$2:$V$201,0)))</f>
        <v/>
      </c>
      <c r="C87" s="45" t="str">
        <f>IF($O87="","",INDEX('Project Plan'!$C$2:$C$201,MATCH($O87,'Project Plan'!$V$2:$V$201,0)))</f>
        <v/>
      </c>
      <c r="D87" s="45" t="str">
        <f>IF($O87="","",INDEX('Project Plan'!$D$2:$D$201,MATCH($O87,'Project Plan'!$V$2:$V$201,0)))</f>
        <v/>
      </c>
      <c r="E87" s="45" t="str">
        <f>IF($O87="","",INDEX('Project Plan'!$G$2:$G$201,MATCH($O87,'Project Plan'!$V$2:$V$201,0)))</f>
        <v/>
      </c>
      <c r="F87" s="46" t="str">
        <f>IF($O87="","",INDEX('Project Plan'!$I$2:$I$201,MATCH($O87,'Project Plan'!$V$2:$V$201,0)))</f>
        <v/>
      </c>
      <c r="G87" s="46" t="str">
        <f>IF($O87="","",INDEX('Project Plan'!$J$2:$J$201,MATCH($O87,'Project Plan'!$V$2:$V$201,0)))</f>
        <v/>
      </c>
      <c r="H87" s="46" t="str">
        <f>IF($O87="","",INDEX('Project Plan'!$M$2:$M$201,MATCH($O87,'Project Plan'!$V$2:$V$201,0)))</f>
        <v/>
      </c>
      <c r="I87" s="45" t="str">
        <f>IF($O87="","",INDEX('Project Plan'!$N$2:$N$201,MATCH($O87,'Project Plan'!$V$2:$V$201,0)))</f>
        <v/>
      </c>
      <c r="J87" s="47" t="str">
        <f>IF($O87="","",INDEX('Project Plan'!$O$2:$O$201,MATCH($O87,'Project Plan'!$V$2:$V$201,0)))</f>
        <v/>
      </c>
      <c r="K87" s="46" t="str">
        <f>IF($O87="","",INDEX('Project Plan'!$R$2:$R$201,MATCH($O87,'Project Plan'!$V$2:$V$201,0)))</f>
        <v/>
      </c>
      <c r="L87" s="38" t="str">
        <f>IF($O87="","",INDEX('Project Plan'!$S$2:$S$201,MATCH($O87,'Project Plan'!$V$2:$V$201,0)))</f>
        <v/>
      </c>
      <c r="M87" s="38" t="str">
        <f>IF($O87="","",INDEX('Project Plan'!$T$2:$T$201,MATCH($O87,'Project Plan'!$V$2:$V$201,0)))</f>
        <v/>
      </c>
      <c r="N87" s="94" t="str">
        <f>IF($O87="","",INDEX('Project Plan'!$U$2:$U$201,MATCH($O87,'Project Plan'!$V$2:$V$201,0)))</f>
        <v/>
      </c>
      <c r="O87" s="45" t="str">
        <f>IF(ROW()-1&lt;=MAX('Project Plan'!$V$2:$V$201),ROW()-1,"")</f>
        <v/>
      </c>
    </row>
    <row r="88" spans="1:15" ht="13.9" customHeight="1" x14ac:dyDescent="0.25">
      <c r="A88" s="93" t="str">
        <f>IF($O88="","",INDEX('Project Plan'!$A$2:$A$201,MATCH($O88,'Project Plan'!$V$2:$V$201,0)))</f>
        <v/>
      </c>
      <c r="B88" s="45" t="str">
        <f>IF($O88="","",INDEX('Project Plan'!$B$2:$B$201,MATCH($O88,'Project Plan'!$V$2:$V$201,0)))</f>
        <v/>
      </c>
      <c r="C88" s="45" t="str">
        <f>IF($O88="","",INDEX('Project Plan'!$C$2:$C$201,MATCH($O88,'Project Plan'!$V$2:$V$201,0)))</f>
        <v/>
      </c>
      <c r="D88" s="45" t="str">
        <f>IF($O88="","",INDEX('Project Plan'!$D$2:$D$201,MATCH($O88,'Project Plan'!$V$2:$V$201,0)))</f>
        <v/>
      </c>
      <c r="E88" s="45" t="str">
        <f>IF($O88="","",INDEX('Project Plan'!$G$2:$G$201,MATCH($O88,'Project Plan'!$V$2:$V$201,0)))</f>
        <v/>
      </c>
      <c r="F88" s="46" t="str">
        <f>IF($O88="","",INDEX('Project Plan'!$I$2:$I$201,MATCH($O88,'Project Plan'!$V$2:$V$201,0)))</f>
        <v/>
      </c>
      <c r="G88" s="46" t="str">
        <f>IF($O88="","",INDEX('Project Plan'!$J$2:$J$201,MATCH($O88,'Project Plan'!$V$2:$V$201,0)))</f>
        <v/>
      </c>
      <c r="H88" s="46" t="str">
        <f>IF($O88="","",INDEX('Project Plan'!$M$2:$M$201,MATCH($O88,'Project Plan'!$V$2:$V$201,0)))</f>
        <v/>
      </c>
      <c r="I88" s="45" t="str">
        <f>IF($O88="","",INDEX('Project Plan'!$N$2:$N$201,MATCH($O88,'Project Plan'!$V$2:$V$201,0)))</f>
        <v/>
      </c>
      <c r="J88" s="47" t="str">
        <f>IF($O88="","",INDEX('Project Plan'!$O$2:$O$201,MATCH($O88,'Project Plan'!$V$2:$V$201,0)))</f>
        <v/>
      </c>
      <c r="K88" s="46" t="str">
        <f>IF($O88="","",INDEX('Project Plan'!$R$2:$R$201,MATCH($O88,'Project Plan'!$V$2:$V$201,0)))</f>
        <v/>
      </c>
      <c r="L88" s="38" t="str">
        <f>IF($O88="","",INDEX('Project Plan'!$S$2:$S$201,MATCH($O88,'Project Plan'!$V$2:$V$201,0)))</f>
        <v/>
      </c>
      <c r="M88" s="38" t="str">
        <f>IF($O88="","",INDEX('Project Plan'!$T$2:$T$201,MATCH($O88,'Project Plan'!$V$2:$V$201,0)))</f>
        <v/>
      </c>
      <c r="N88" s="94" t="str">
        <f>IF($O88="","",INDEX('Project Plan'!$U$2:$U$201,MATCH($O88,'Project Plan'!$V$2:$V$201,0)))</f>
        <v/>
      </c>
      <c r="O88" s="45" t="str">
        <f>IF(ROW()-1&lt;=MAX('Project Plan'!$V$2:$V$201),ROW()-1,"")</f>
        <v/>
      </c>
    </row>
    <row r="89" spans="1:15" ht="13.9" customHeight="1" x14ac:dyDescent="0.25">
      <c r="A89" s="93" t="str">
        <f>IF($O89="","",INDEX('Project Plan'!$A$2:$A$201,MATCH($O89,'Project Plan'!$V$2:$V$201,0)))</f>
        <v/>
      </c>
      <c r="B89" s="45" t="str">
        <f>IF($O89="","",INDEX('Project Plan'!$B$2:$B$201,MATCH($O89,'Project Plan'!$V$2:$V$201,0)))</f>
        <v/>
      </c>
      <c r="C89" s="45" t="str">
        <f>IF($O89="","",INDEX('Project Plan'!$C$2:$C$201,MATCH($O89,'Project Plan'!$V$2:$V$201,0)))</f>
        <v/>
      </c>
      <c r="D89" s="45" t="str">
        <f>IF($O89="","",INDEX('Project Plan'!$D$2:$D$201,MATCH($O89,'Project Plan'!$V$2:$V$201,0)))</f>
        <v/>
      </c>
      <c r="E89" s="45" t="str">
        <f>IF($O89="","",INDEX('Project Plan'!$G$2:$G$201,MATCH($O89,'Project Plan'!$V$2:$V$201,0)))</f>
        <v/>
      </c>
      <c r="F89" s="46" t="str">
        <f>IF($O89="","",INDEX('Project Plan'!$I$2:$I$201,MATCH($O89,'Project Plan'!$V$2:$V$201,0)))</f>
        <v/>
      </c>
      <c r="G89" s="46" t="str">
        <f>IF($O89="","",INDEX('Project Plan'!$J$2:$J$201,MATCH($O89,'Project Plan'!$V$2:$V$201,0)))</f>
        <v/>
      </c>
      <c r="H89" s="46" t="str">
        <f>IF($O89="","",INDEX('Project Plan'!$M$2:$M$201,MATCH($O89,'Project Plan'!$V$2:$V$201,0)))</f>
        <v/>
      </c>
      <c r="I89" s="45" t="str">
        <f>IF($O89="","",INDEX('Project Plan'!$N$2:$N$201,MATCH($O89,'Project Plan'!$V$2:$V$201,0)))</f>
        <v/>
      </c>
      <c r="J89" s="47" t="str">
        <f>IF($O89="","",INDEX('Project Plan'!$O$2:$O$201,MATCH($O89,'Project Plan'!$V$2:$V$201,0)))</f>
        <v/>
      </c>
      <c r="K89" s="46" t="str">
        <f>IF($O89="","",INDEX('Project Plan'!$R$2:$R$201,MATCH($O89,'Project Plan'!$V$2:$V$201,0)))</f>
        <v/>
      </c>
      <c r="L89" s="38" t="str">
        <f>IF($O89="","",INDEX('Project Plan'!$S$2:$S$201,MATCH($O89,'Project Plan'!$V$2:$V$201,0)))</f>
        <v/>
      </c>
      <c r="M89" s="38" t="str">
        <f>IF($O89="","",INDEX('Project Plan'!$T$2:$T$201,MATCH($O89,'Project Plan'!$V$2:$V$201,0)))</f>
        <v/>
      </c>
      <c r="N89" s="94" t="str">
        <f>IF($O89="","",INDEX('Project Plan'!$U$2:$U$201,MATCH($O89,'Project Plan'!$V$2:$V$201,0)))</f>
        <v/>
      </c>
      <c r="O89" s="45" t="str">
        <f>IF(ROW()-1&lt;=MAX('Project Plan'!$V$2:$V$201),ROW()-1,"")</f>
        <v/>
      </c>
    </row>
    <row r="90" spans="1:15" ht="13.9" customHeight="1" x14ac:dyDescent="0.25">
      <c r="A90" s="93" t="str">
        <f>IF($O90="","",INDEX('Project Plan'!$A$2:$A$201,MATCH($O90,'Project Plan'!$V$2:$V$201,0)))</f>
        <v/>
      </c>
      <c r="B90" s="45" t="str">
        <f>IF($O90="","",INDEX('Project Plan'!$B$2:$B$201,MATCH($O90,'Project Plan'!$V$2:$V$201,0)))</f>
        <v/>
      </c>
      <c r="C90" s="45" t="str">
        <f>IF($O90="","",INDEX('Project Plan'!$C$2:$C$201,MATCH($O90,'Project Plan'!$V$2:$V$201,0)))</f>
        <v/>
      </c>
      <c r="D90" s="45" t="str">
        <f>IF($O90="","",INDEX('Project Plan'!$D$2:$D$201,MATCH($O90,'Project Plan'!$V$2:$V$201,0)))</f>
        <v/>
      </c>
      <c r="E90" s="45" t="str">
        <f>IF($O90="","",INDEX('Project Plan'!$G$2:$G$201,MATCH($O90,'Project Plan'!$V$2:$V$201,0)))</f>
        <v/>
      </c>
      <c r="F90" s="46" t="str">
        <f>IF($O90="","",INDEX('Project Plan'!$I$2:$I$201,MATCH($O90,'Project Plan'!$V$2:$V$201,0)))</f>
        <v/>
      </c>
      <c r="G90" s="46" t="str">
        <f>IF($O90="","",INDEX('Project Plan'!$J$2:$J$201,MATCH($O90,'Project Plan'!$V$2:$V$201,0)))</f>
        <v/>
      </c>
      <c r="H90" s="46" t="str">
        <f>IF($O90="","",INDEX('Project Plan'!$M$2:$M$201,MATCH($O90,'Project Plan'!$V$2:$V$201,0)))</f>
        <v/>
      </c>
      <c r="I90" s="45" t="str">
        <f>IF($O90="","",INDEX('Project Plan'!$N$2:$N$201,MATCH($O90,'Project Plan'!$V$2:$V$201,0)))</f>
        <v/>
      </c>
      <c r="J90" s="47" t="str">
        <f>IF($O90="","",INDEX('Project Plan'!$O$2:$O$201,MATCH($O90,'Project Plan'!$V$2:$V$201,0)))</f>
        <v/>
      </c>
      <c r="K90" s="46" t="str">
        <f>IF($O90="","",INDEX('Project Plan'!$R$2:$R$201,MATCH($O90,'Project Plan'!$V$2:$V$201,0)))</f>
        <v/>
      </c>
      <c r="L90" s="38" t="str">
        <f>IF($O90="","",INDEX('Project Plan'!$S$2:$S$201,MATCH($O90,'Project Plan'!$V$2:$V$201,0)))</f>
        <v/>
      </c>
      <c r="M90" s="38" t="str">
        <f>IF($O90="","",INDEX('Project Plan'!$T$2:$T$201,MATCH($O90,'Project Plan'!$V$2:$V$201,0)))</f>
        <v/>
      </c>
      <c r="N90" s="94" t="str">
        <f>IF($O90="","",INDEX('Project Plan'!$U$2:$U$201,MATCH($O90,'Project Plan'!$V$2:$V$201,0)))</f>
        <v/>
      </c>
      <c r="O90" s="45" t="str">
        <f>IF(ROW()-1&lt;=MAX('Project Plan'!$V$2:$V$201),ROW()-1,"")</f>
        <v/>
      </c>
    </row>
    <row r="91" spans="1:15" ht="13.9" customHeight="1" x14ac:dyDescent="0.25">
      <c r="A91" s="93" t="str">
        <f>IF($O91="","",INDEX('Project Plan'!$A$2:$A$201,MATCH($O91,'Project Plan'!$V$2:$V$201,0)))</f>
        <v/>
      </c>
      <c r="B91" s="45" t="str">
        <f>IF($O91="","",INDEX('Project Plan'!$B$2:$B$201,MATCH($O91,'Project Plan'!$V$2:$V$201,0)))</f>
        <v/>
      </c>
      <c r="C91" s="45" t="str">
        <f>IF($O91="","",INDEX('Project Plan'!$C$2:$C$201,MATCH($O91,'Project Plan'!$V$2:$V$201,0)))</f>
        <v/>
      </c>
      <c r="D91" s="45" t="str">
        <f>IF($O91="","",INDEX('Project Plan'!$D$2:$D$201,MATCH($O91,'Project Plan'!$V$2:$V$201,0)))</f>
        <v/>
      </c>
      <c r="E91" s="45" t="str">
        <f>IF($O91="","",INDEX('Project Plan'!$G$2:$G$201,MATCH($O91,'Project Plan'!$V$2:$V$201,0)))</f>
        <v/>
      </c>
      <c r="F91" s="46" t="str">
        <f>IF($O91="","",INDEX('Project Plan'!$I$2:$I$201,MATCH($O91,'Project Plan'!$V$2:$V$201,0)))</f>
        <v/>
      </c>
      <c r="G91" s="46" t="str">
        <f>IF($O91="","",INDEX('Project Plan'!$J$2:$J$201,MATCH($O91,'Project Plan'!$V$2:$V$201,0)))</f>
        <v/>
      </c>
      <c r="H91" s="46" t="str">
        <f>IF($O91="","",INDEX('Project Plan'!$M$2:$M$201,MATCH($O91,'Project Plan'!$V$2:$V$201,0)))</f>
        <v/>
      </c>
      <c r="I91" s="45" t="str">
        <f>IF($O91="","",INDEX('Project Plan'!$N$2:$N$201,MATCH($O91,'Project Plan'!$V$2:$V$201,0)))</f>
        <v/>
      </c>
      <c r="J91" s="47" t="str">
        <f>IF($O91="","",INDEX('Project Plan'!$O$2:$O$201,MATCH($O91,'Project Plan'!$V$2:$V$201,0)))</f>
        <v/>
      </c>
      <c r="K91" s="46" t="str">
        <f>IF($O91="","",INDEX('Project Plan'!$R$2:$R$201,MATCH($O91,'Project Plan'!$V$2:$V$201,0)))</f>
        <v/>
      </c>
      <c r="L91" s="38" t="str">
        <f>IF($O91="","",INDEX('Project Plan'!$S$2:$S$201,MATCH($O91,'Project Plan'!$V$2:$V$201,0)))</f>
        <v/>
      </c>
      <c r="M91" s="38" t="str">
        <f>IF($O91="","",INDEX('Project Plan'!$T$2:$T$201,MATCH($O91,'Project Plan'!$V$2:$V$201,0)))</f>
        <v/>
      </c>
      <c r="N91" s="94" t="str">
        <f>IF($O91="","",INDEX('Project Plan'!$U$2:$U$201,MATCH($O91,'Project Plan'!$V$2:$V$201,0)))</f>
        <v/>
      </c>
      <c r="O91" s="45" t="str">
        <f>IF(ROW()-1&lt;=MAX('Project Plan'!$V$2:$V$201),ROW()-1,"")</f>
        <v/>
      </c>
    </row>
    <row r="92" spans="1:15" ht="13.9" customHeight="1" x14ac:dyDescent="0.25">
      <c r="A92" s="93" t="str">
        <f>IF($O92="","",INDEX('Project Plan'!$A$2:$A$201,MATCH($O92,'Project Plan'!$V$2:$V$201,0)))</f>
        <v/>
      </c>
      <c r="B92" s="45" t="str">
        <f>IF($O92="","",INDEX('Project Plan'!$B$2:$B$201,MATCH($O92,'Project Plan'!$V$2:$V$201,0)))</f>
        <v/>
      </c>
      <c r="C92" s="45" t="str">
        <f>IF($O92="","",INDEX('Project Plan'!$C$2:$C$201,MATCH($O92,'Project Plan'!$V$2:$V$201,0)))</f>
        <v/>
      </c>
      <c r="D92" s="45" t="str">
        <f>IF($O92="","",INDEX('Project Plan'!$D$2:$D$201,MATCH($O92,'Project Plan'!$V$2:$V$201,0)))</f>
        <v/>
      </c>
      <c r="E92" s="45" t="str">
        <f>IF($O92="","",INDEX('Project Plan'!$G$2:$G$201,MATCH($O92,'Project Plan'!$V$2:$V$201,0)))</f>
        <v/>
      </c>
      <c r="F92" s="46" t="str">
        <f>IF($O92="","",INDEX('Project Plan'!$I$2:$I$201,MATCH($O92,'Project Plan'!$V$2:$V$201,0)))</f>
        <v/>
      </c>
      <c r="G92" s="46" t="str">
        <f>IF($O92="","",INDEX('Project Plan'!$J$2:$J$201,MATCH($O92,'Project Plan'!$V$2:$V$201,0)))</f>
        <v/>
      </c>
      <c r="H92" s="46" t="str">
        <f>IF($O92="","",INDEX('Project Plan'!$M$2:$M$201,MATCH($O92,'Project Plan'!$V$2:$V$201,0)))</f>
        <v/>
      </c>
      <c r="I92" s="45" t="str">
        <f>IF($O92="","",INDEX('Project Plan'!$N$2:$N$201,MATCH($O92,'Project Plan'!$V$2:$V$201,0)))</f>
        <v/>
      </c>
      <c r="J92" s="47" t="str">
        <f>IF($O92="","",INDEX('Project Plan'!$O$2:$O$201,MATCH($O92,'Project Plan'!$V$2:$V$201,0)))</f>
        <v/>
      </c>
      <c r="K92" s="46" t="str">
        <f>IF($O92="","",INDEX('Project Plan'!$R$2:$R$201,MATCH($O92,'Project Plan'!$V$2:$V$201,0)))</f>
        <v/>
      </c>
      <c r="L92" s="38" t="str">
        <f>IF($O92="","",INDEX('Project Plan'!$S$2:$S$201,MATCH($O92,'Project Plan'!$V$2:$V$201,0)))</f>
        <v/>
      </c>
      <c r="M92" s="38" t="str">
        <f>IF($O92="","",INDEX('Project Plan'!$T$2:$T$201,MATCH($O92,'Project Plan'!$V$2:$V$201,0)))</f>
        <v/>
      </c>
      <c r="N92" s="94" t="str">
        <f>IF($O92="","",INDEX('Project Plan'!$U$2:$U$201,MATCH($O92,'Project Plan'!$V$2:$V$201,0)))</f>
        <v/>
      </c>
      <c r="O92" s="45" t="str">
        <f>IF(ROW()-1&lt;=MAX('Project Plan'!$V$2:$V$201),ROW()-1,"")</f>
        <v/>
      </c>
    </row>
    <row r="93" spans="1:15" ht="13.9" customHeight="1" x14ac:dyDescent="0.25">
      <c r="A93" s="93" t="str">
        <f>IF($O93="","",INDEX('Project Plan'!$A$2:$A$201,MATCH($O93,'Project Plan'!$V$2:$V$201,0)))</f>
        <v/>
      </c>
      <c r="B93" s="45" t="str">
        <f>IF($O93="","",INDEX('Project Plan'!$B$2:$B$201,MATCH($O93,'Project Plan'!$V$2:$V$201,0)))</f>
        <v/>
      </c>
      <c r="C93" s="45" t="str">
        <f>IF($O93="","",INDEX('Project Plan'!$C$2:$C$201,MATCH($O93,'Project Plan'!$V$2:$V$201,0)))</f>
        <v/>
      </c>
      <c r="D93" s="45" t="str">
        <f>IF($O93="","",INDEX('Project Plan'!$D$2:$D$201,MATCH($O93,'Project Plan'!$V$2:$V$201,0)))</f>
        <v/>
      </c>
      <c r="E93" s="45" t="str">
        <f>IF($O93="","",INDEX('Project Plan'!$G$2:$G$201,MATCH($O93,'Project Plan'!$V$2:$V$201,0)))</f>
        <v/>
      </c>
      <c r="F93" s="46" t="str">
        <f>IF($O93="","",INDEX('Project Plan'!$I$2:$I$201,MATCH($O93,'Project Plan'!$V$2:$V$201,0)))</f>
        <v/>
      </c>
      <c r="G93" s="46" t="str">
        <f>IF($O93="","",INDEX('Project Plan'!$J$2:$J$201,MATCH($O93,'Project Plan'!$V$2:$V$201,0)))</f>
        <v/>
      </c>
      <c r="H93" s="46" t="str">
        <f>IF($O93="","",INDEX('Project Plan'!$M$2:$M$201,MATCH($O93,'Project Plan'!$V$2:$V$201,0)))</f>
        <v/>
      </c>
      <c r="I93" s="45" t="str">
        <f>IF($O93="","",INDEX('Project Plan'!$N$2:$N$201,MATCH($O93,'Project Plan'!$V$2:$V$201,0)))</f>
        <v/>
      </c>
      <c r="J93" s="47" t="str">
        <f>IF($O93="","",INDEX('Project Plan'!$O$2:$O$201,MATCH($O93,'Project Plan'!$V$2:$V$201,0)))</f>
        <v/>
      </c>
      <c r="K93" s="46" t="str">
        <f>IF($O93="","",INDEX('Project Plan'!$R$2:$R$201,MATCH($O93,'Project Plan'!$V$2:$V$201,0)))</f>
        <v/>
      </c>
      <c r="L93" s="38" t="str">
        <f>IF($O93="","",INDEX('Project Plan'!$S$2:$S$201,MATCH($O93,'Project Plan'!$V$2:$V$201,0)))</f>
        <v/>
      </c>
      <c r="M93" s="38" t="str">
        <f>IF($O93="","",INDEX('Project Plan'!$T$2:$T$201,MATCH($O93,'Project Plan'!$V$2:$V$201,0)))</f>
        <v/>
      </c>
      <c r="N93" s="94" t="str">
        <f>IF($O93="","",INDEX('Project Plan'!$U$2:$U$201,MATCH($O93,'Project Plan'!$V$2:$V$201,0)))</f>
        <v/>
      </c>
      <c r="O93" s="45" t="str">
        <f>IF(ROW()-1&lt;=MAX('Project Plan'!$V$2:$V$201),ROW()-1,"")</f>
        <v/>
      </c>
    </row>
    <row r="94" spans="1:15" ht="13.9" customHeight="1" x14ac:dyDescent="0.25">
      <c r="A94" s="93" t="str">
        <f>IF($O94="","",INDEX('Project Plan'!$A$2:$A$201,MATCH($O94,'Project Plan'!$V$2:$V$201,0)))</f>
        <v/>
      </c>
      <c r="B94" s="45" t="str">
        <f>IF($O94="","",INDEX('Project Plan'!$B$2:$B$201,MATCH($O94,'Project Plan'!$V$2:$V$201,0)))</f>
        <v/>
      </c>
      <c r="C94" s="45" t="str">
        <f>IF($O94="","",INDEX('Project Plan'!$C$2:$C$201,MATCH($O94,'Project Plan'!$V$2:$V$201,0)))</f>
        <v/>
      </c>
      <c r="D94" s="45" t="str">
        <f>IF($O94="","",INDEX('Project Plan'!$D$2:$D$201,MATCH($O94,'Project Plan'!$V$2:$V$201,0)))</f>
        <v/>
      </c>
      <c r="E94" s="45" t="str">
        <f>IF($O94="","",INDEX('Project Plan'!$G$2:$G$201,MATCH($O94,'Project Plan'!$V$2:$V$201,0)))</f>
        <v/>
      </c>
      <c r="F94" s="46" t="str">
        <f>IF($O94="","",INDEX('Project Plan'!$I$2:$I$201,MATCH($O94,'Project Plan'!$V$2:$V$201,0)))</f>
        <v/>
      </c>
      <c r="G94" s="46" t="str">
        <f>IF($O94="","",INDEX('Project Plan'!$J$2:$J$201,MATCH($O94,'Project Plan'!$V$2:$V$201,0)))</f>
        <v/>
      </c>
      <c r="H94" s="46" t="str">
        <f>IF($O94="","",INDEX('Project Plan'!$M$2:$M$201,MATCH($O94,'Project Plan'!$V$2:$V$201,0)))</f>
        <v/>
      </c>
      <c r="I94" s="45" t="str">
        <f>IF($O94="","",INDEX('Project Plan'!$N$2:$N$201,MATCH($O94,'Project Plan'!$V$2:$V$201,0)))</f>
        <v/>
      </c>
      <c r="J94" s="47" t="str">
        <f>IF($O94="","",INDEX('Project Plan'!$O$2:$O$201,MATCH($O94,'Project Plan'!$V$2:$V$201,0)))</f>
        <v/>
      </c>
      <c r="K94" s="46" t="str">
        <f>IF($O94="","",INDEX('Project Plan'!$R$2:$R$201,MATCH($O94,'Project Plan'!$V$2:$V$201,0)))</f>
        <v/>
      </c>
      <c r="L94" s="38" t="str">
        <f>IF($O94="","",INDEX('Project Plan'!$S$2:$S$201,MATCH($O94,'Project Plan'!$V$2:$V$201,0)))</f>
        <v/>
      </c>
      <c r="M94" s="38" t="str">
        <f>IF($O94="","",INDEX('Project Plan'!$T$2:$T$201,MATCH($O94,'Project Plan'!$V$2:$V$201,0)))</f>
        <v/>
      </c>
      <c r="N94" s="94" t="str">
        <f>IF($O94="","",INDEX('Project Plan'!$U$2:$U$201,MATCH($O94,'Project Plan'!$V$2:$V$201,0)))</f>
        <v/>
      </c>
      <c r="O94" s="45" t="str">
        <f>IF(ROW()-1&lt;=MAX('Project Plan'!$V$2:$V$201),ROW()-1,"")</f>
        <v/>
      </c>
    </row>
    <row r="95" spans="1:15" ht="13.9" customHeight="1" x14ac:dyDescent="0.25">
      <c r="A95" s="93" t="str">
        <f>IF($O95="","",INDEX('Project Plan'!$A$2:$A$201,MATCH($O95,'Project Plan'!$V$2:$V$201,0)))</f>
        <v/>
      </c>
      <c r="B95" s="45" t="str">
        <f>IF($O95="","",INDEX('Project Plan'!$B$2:$B$201,MATCH($O95,'Project Plan'!$V$2:$V$201,0)))</f>
        <v/>
      </c>
      <c r="C95" s="45" t="str">
        <f>IF($O95="","",INDEX('Project Plan'!$C$2:$C$201,MATCH($O95,'Project Plan'!$V$2:$V$201,0)))</f>
        <v/>
      </c>
      <c r="D95" s="45" t="str">
        <f>IF($O95="","",INDEX('Project Plan'!$D$2:$D$201,MATCH($O95,'Project Plan'!$V$2:$V$201,0)))</f>
        <v/>
      </c>
      <c r="E95" s="45" t="str">
        <f>IF($O95="","",INDEX('Project Plan'!$G$2:$G$201,MATCH($O95,'Project Plan'!$V$2:$V$201,0)))</f>
        <v/>
      </c>
      <c r="F95" s="46" t="str">
        <f>IF($O95="","",INDEX('Project Plan'!$I$2:$I$201,MATCH($O95,'Project Plan'!$V$2:$V$201,0)))</f>
        <v/>
      </c>
      <c r="G95" s="46" t="str">
        <f>IF($O95="","",INDEX('Project Plan'!$J$2:$J$201,MATCH($O95,'Project Plan'!$V$2:$V$201,0)))</f>
        <v/>
      </c>
      <c r="H95" s="46" t="str">
        <f>IF($O95="","",INDEX('Project Plan'!$M$2:$M$201,MATCH($O95,'Project Plan'!$V$2:$V$201,0)))</f>
        <v/>
      </c>
      <c r="I95" s="45" t="str">
        <f>IF($O95="","",INDEX('Project Plan'!$N$2:$N$201,MATCH($O95,'Project Plan'!$V$2:$V$201,0)))</f>
        <v/>
      </c>
      <c r="J95" s="47" t="str">
        <f>IF($O95="","",INDEX('Project Plan'!$O$2:$O$201,MATCH($O95,'Project Plan'!$V$2:$V$201,0)))</f>
        <v/>
      </c>
      <c r="K95" s="46" t="str">
        <f>IF($O95="","",INDEX('Project Plan'!$R$2:$R$201,MATCH($O95,'Project Plan'!$V$2:$V$201,0)))</f>
        <v/>
      </c>
      <c r="L95" s="38" t="str">
        <f>IF($O95="","",INDEX('Project Plan'!$S$2:$S$201,MATCH($O95,'Project Plan'!$V$2:$V$201,0)))</f>
        <v/>
      </c>
      <c r="M95" s="38" t="str">
        <f>IF($O95="","",INDEX('Project Plan'!$T$2:$T$201,MATCH($O95,'Project Plan'!$V$2:$V$201,0)))</f>
        <v/>
      </c>
      <c r="N95" s="94" t="str">
        <f>IF($O95="","",INDEX('Project Plan'!$U$2:$U$201,MATCH($O95,'Project Plan'!$V$2:$V$201,0)))</f>
        <v/>
      </c>
      <c r="O95" s="45" t="str">
        <f>IF(ROW()-1&lt;=MAX('Project Plan'!$V$2:$V$201),ROW()-1,"")</f>
        <v/>
      </c>
    </row>
    <row r="96" spans="1:15" ht="13.9" customHeight="1" x14ac:dyDescent="0.25">
      <c r="A96" s="93" t="str">
        <f>IF($O96="","",INDEX('Project Plan'!$A$2:$A$201,MATCH($O96,'Project Plan'!$V$2:$V$201,0)))</f>
        <v/>
      </c>
      <c r="B96" s="45" t="str">
        <f>IF($O96="","",INDEX('Project Plan'!$B$2:$B$201,MATCH($O96,'Project Plan'!$V$2:$V$201,0)))</f>
        <v/>
      </c>
      <c r="C96" s="45" t="str">
        <f>IF($O96="","",INDEX('Project Plan'!$C$2:$C$201,MATCH($O96,'Project Plan'!$V$2:$V$201,0)))</f>
        <v/>
      </c>
      <c r="D96" s="45" t="str">
        <f>IF($O96="","",INDEX('Project Plan'!$D$2:$D$201,MATCH($O96,'Project Plan'!$V$2:$V$201,0)))</f>
        <v/>
      </c>
      <c r="E96" s="45" t="str">
        <f>IF($O96="","",INDEX('Project Plan'!$G$2:$G$201,MATCH($O96,'Project Plan'!$V$2:$V$201,0)))</f>
        <v/>
      </c>
      <c r="F96" s="46" t="str">
        <f>IF($O96="","",INDEX('Project Plan'!$I$2:$I$201,MATCH($O96,'Project Plan'!$V$2:$V$201,0)))</f>
        <v/>
      </c>
      <c r="G96" s="46" t="str">
        <f>IF($O96="","",INDEX('Project Plan'!$J$2:$J$201,MATCH($O96,'Project Plan'!$V$2:$V$201,0)))</f>
        <v/>
      </c>
      <c r="H96" s="46" t="str">
        <f>IF($O96="","",INDEX('Project Plan'!$M$2:$M$201,MATCH($O96,'Project Plan'!$V$2:$V$201,0)))</f>
        <v/>
      </c>
      <c r="I96" s="45" t="str">
        <f>IF($O96="","",INDEX('Project Plan'!$N$2:$N$201,MATCH($O96,'Project Plan'!$V$2:$V$201,0)))</f>
        <v/>
      </c>
      <c r="J96" s="47" t="str">
        <f>IF($O96="","",INDEX('Project Plan'!$O$2:$O$201,MATCH($O96,'Project Plan'!$V$2:$V$201,0)))</f>
        <v/>
      </c>
      <c r="K96" s="46" t="str">
        <f>IF($O96="","",INDEX('Project Plan'!$R$2:$R$201,MATCH($O96,'Project Plan'!$V$2:$V$201,0)))</f>
        <v/>
      </c>
      <c r="L96" s="38" t="str">
        <f>IF($O96="","",INDEX('Project Plan'!$S$2:$S$201,MATCH($O96,'Project Plan'!$V$2:$V$201,0)))</f>
        <v/>
      </c>
      <c r="M96" s="38" t="str">
        <f>IF($O96="","",INDEX('Project Plan'!$T$2:$T$201,MATCH($O96,'Project Plan'!$V$2:$V$201,0)))</f>
        <v/>
      </c>
      <c r="N96" s="94" t="str">
        <f>IF($O96="","",INDEX('Project Plan'!$U$2:$U$201,MATCH($O96,'Project Plan'!$V$2:$V$201,0)))</f>
        <v/>
      </c>
      <c r="O96" s="45" t="str">
        <f>IF(ROW()-1&lt;=MAX('Project Plan'!$V$2:$V$201),ROW()-1,"")</f>
        <v/>
      </c>
    </row>
    <row r="97" spans="1:15" ht="13.9" customHeight="1" x14ac:dyDescent="0.25">
      <c r="A97" s="93" t="str">
        <f>IF($O97="","",INDEX('Project Plan'!$A$2:$A$201,MATCH($O97,'Project Plan'!$V$2:$V$201,0)))</f>
        <v/>
      </c>
      <c r="B97" s="45" t="str">
        <f>IF($O97="","",INDEX('Project Plan'!$B$2:$B$201,MATCH($O97,'Project Plan'!$V$2:$V$201,0)))</f>
        <v/>
      </c>
      <c r="C97" s="45" t="str">
        <f>IF($O97="","",INDEX('Project Plan'!$C$2:$C$201,MATCH($O97,'Project Plan'!$V$2:$V$201,0)))</f>
        <v/>
      </c>
      <c r="D97" s="45" t="str">
        <f>IF($O97="","",INDEX('Project Plan'!$D$2:$D$201,MATCH($O97,'Project Plan'!$V$2:$V$201,0)))</f>
        <v/>
      </c>
      <c r="E97" s="45" t="str">
        <f>IF($O97="","",INDEX('Project Plan'!$G$2:$G$201,MATCH($O97,'Project Plan'!$V$2:$V$201,0)))</f>
        <v/>
      </c>
      <c r="F97" s="46" t="str">
        <f>IF($O97="","",INDEX('Project Plan'!$I$2:$I$201,MATCH($O97,'Project Plan'!$V$2:$V$201,0)))</f>
        <v/>
      </c>
      <c r="G97" s="46" t="str">
        <f>IF($O97="","",INDEX('Project Plan'!$J$2:$J$201,MATCH($O97,'Project Plan'!$V$2:$V$201,0)))</f>
        <v/>
      </c>
      <c r="H97" s="46" t="str">
        <f>IF($O97="","",INDEX('Project Plan'!$M$2:$M$201,MATCH($O97,'Project Plan'!$V$2:$V$201,0)))</f>
        <v/>
      </c>
      <c r="I97" s="45" t="str">
        <f>IF($O97="","",INDEX('Project Plan'!$N$2:$N$201,MATCH($O97,'Project Plan'!$V$2:$V$201,0)))</f>
        <v/>
      </c>
      <c r="J97" s="47" t="str">
        <f>IF($O97="","",INDEX('Project Plan'!$O$2:$O$201,MATCH($O97,'Project Plan'!$V$2:$V$201,0)))</f>
        <v/>
      </c>
      <c r="K97" s="46" t="str">
        <f>IF($O97="","",INDEX('Project Plan'!$R$2:$R$201,MATCH($O97,'Project Plan'!$V$2:$V$201,0)))</f>
        <v/>
      </c>
      <c r="L97" s="38" t="str">
        <f>IF($O97="","",INDEX('Project Plan'!$S$2:$S$201,MATCH($O97,'Project Plan'!$V$2:$V$201,0)))</f>
        <v/>
      </c>
      <c r="M97" s="38" t="str">
        <f>IF($O97="","",INDEX('Project Plan'!$T$2:$T$201,MATCH($O97,'Project Plan'!$V$2:$V$201,0)))</f>
        <v/>
      </c>
      <c r="N97" s="94" t="str">
        <f>IF($O97="","",INDEX('Project Plan'!$U$2:$U$201,MATCH($O97,'Project Plan'!$V$2:$V$201,0)))</f>
        <v/>
      </c>
      <c r="O97" s="45" t="str">
        <f>IF(ROW()-1&lt;=MAX('Project Plan'!$V$2:$V$201),ROW()-1,"")</f>
        <v/>
      </c>
    </row>
    <row r="98" spans="1:15" ht="13.9" customHeight="1" x14ac:dyDescent="0.25">
      <c r="A98" s="93" t="str">
        <f>IF($O98="","",INDEX('Project Plan'!$A$2:$A$201,MATCH($O98,'Project Plan'!$V$2:$V$201,0)))</f>
        <v/>
      </c>
      <c r="B98" s="45" t="str">
        <f>IF($O98="","",INDEX('Project Plan'!$B$2:$B$201,MATCH($O98,'Project Plan'!$V$2:$V$201,0)))</f>
        <v/>
      </c>
      <c r="C98" s="45" t="str">
        <f>IF($O98="","",INDEX('Project Plan'!$C$2:$C$201,MATCH($O98,'Project Plan'!$V$2:$V$201,0)))</f>
        <v/>
      </c>
      <c r="D98" s="45" t="str">
        <f>IF($O98="","",INDEX('Project Plan'!$D$2:$D$201,MATCH($O98,'Project Plan'!$V$2:$V$201,0)))</f>
        <v/>
      </c>
      <c r="E98" s="45" t="str">
        <f>IF($O98="","",INDEX('Project Plan'!$G$2:$G$201,MATCH($O98,'Project Plan'!$V$2:$V$201,0)))</f>
        <v/>
      </c>
      <c r="F98" s="46" t="str">
        <f>IF($O98="","",INDEX('Project Plan'!$I$2:$I$201,MATCH($O98,'Project Plan'!$V$2:$V$201,0)))</f>
        <v/>
      </c>
      <c r="G98" s="46" t="str">
        <f>IF($O98="","",INDEX('Project Plan'!$J$2:$J$201,MATCH($O98,'Project Plan'!$V$2:$V$201,0)))</f>
        <v/>
      </c>
      <c r="H98" s="46" t="str">
        <f>IF($O98="","",INDEX('Project Plan'!$M$2:$M$201,MATCH($O98,'Project Plan'!$V$2:$V$201,0)))</f>
        <v/>
      </c>
      <c r="I98" s="45" t="str">
        <f>IF($O98="","",INDEX('Project Plan'!$N$2:$N$201,MATCH($O98,'Project Plan'!$V$2:$V$201,0)))</f>
        <v/>
      </c>
      <c r="J98" s="47" t="str">
        <f>IF($O98="","",INDEX('Project Plan'!$O$2:$O$201,MATCH($O98,'Project Plan'!$V$2:$V$201,0)))</f>
        <v/>
      </c>
      <c r="K98" s="46" t="str">
        <f>IF($O98="","",INDEX('Project Plan'!$R$2:$R$201,MATCH($O98,'Project Plan'!$V$2:$V$201,0)))</f>
        <v/>
      </c>
      <c r="L98" s="38" t="str">
        <f>IF($O98="","",INDEX('Project Plan'!$S$2:$S$201,MATCH($O98,'Project Plan'!$V$2:$V$201,0)))</f>
        <v/>
      </c>
      <c r="M98" s="38" t="str">
        <f>IF($O98="","",INDEX('Project Plan'!$T$2:$T$201,MATCH($O98,'Project Plan'!$V$2:$V$201,0)))</f>
        <v/>
      </c>
      <c r="N98" s="94" t="str">
        <f>IF($O98="","",INDEX('Project Plan'!$U$2:$U$201,MATCH($O98,'Project Plan'!$V$2:$V$201,0)))</f>
        <v/>
      </c>
      <c r="O98" s="45" t="str">
        <f>IF(ROW()-1&lt;=MAX('Project Plan'!$V$2:$V$201),ROW()-1,"")</f>
        <v/>
      </c>
    </row>
    <row r="99" spans="1:15" ht="13.9" customHeight="1" x14ac:dyDescent="0.25">
      <c r="A99" s="93" t="str">
        <f>IF($O99="","",INDEX('Project Plan'!$A$2:$A$201,MATCH($O99,'Project Plan'!$V$2:$V$201,0)))</f>
        <v/>
      </c>
      <c r="B99" s="45" t="str">
        <f>IF($O99="","",INDEX('Project Plan'!$B$2:$B$201,MATCH($O99,'Project Plan'!$V$2:$V$201,0)))</f>
        <v/>
      </c>
      <c r="C99" s="45" t="str">
        <f>IF($O99="","",INDEX('Project Plan'!$C$2:$C$201,MATCH($O99,'Project Plan'!$V$2:$V$201,0)))</f>
        <v/>
      </c>
      <c r="D99" s="45" t="str">
        <f>IF($O99="","",INDEX('Project Plan'!$D$2:$D$201,MATCH($O99,'Project Plan'!$V$2:$V$201,0)))</f>
        <v/>
      </c>
      <c r="E99" s="45" t="str">
        <f>IF($O99="","",INDEX('Project Plan'!$G$2:$G$201,MATCH($O99,'Project Plan'!$V$2:$V$201,0)))</f>
        <v/>
      </c>
      <c r="F99" s="46" t="str">
        <f>IF($O99="","",INDEX('Project Plan'!$I$2:$I$201,MATCH($O99,'Project Plan'!$V$2:$V$201,0)))</f>
        <v/>
      </c>
      <c r="G99" s="46" t="str">
        <f>IF($O99="","",INDEX('Project Plan'!$J$2:$J$201,MATCH($O99,'Project Plan'!$V$2:$V$201,0)))</f>
        <v/>
      </c>
      <c r="H99" s="46" t="str">
        <f>IF($O99="","",INDEX('Project Plan'!$M$2:$M$201,MATCH($O99,'Project Plan'!$V$2:$V$201,0)))</f>
        <v/>
      </c>
      <c r="I99" s="45" t="str">
        <f>IF($O99="","",INDEX('Project Plan'!$N$2:$N$201,MATCH($O99,'Project Plan'!$V$2:$V$201,0)))</f>
        <v/>
      </c>
      <c r="J99" s="47" t="str">
        <f>IF($O99="","",INDEX('Project Plan'!$O$2:$O$201,MATCH($O99,'Project Plan'!$V$2:$V$201,0)))</f>
        <v/>
      </c>
      <c r="K99" s="46" t="str">
        <f>IF($O99="","",INDEX('Project Plan'!$R$2:$R$201,MATCH($O99,'Project Plan'!$V$2:$V$201,0)))</f>
        <v/>
      </c>
      <c r="L99" s="38" t="str">
        <f>IF($O99="","",INDEX('Project Plan'!$S$2:$S$201,MATCH($O99,'Project Plan'!$V$2:$V$201,0)))</f>
        <v/>
      </c>
      <c r="M99" s="38" t="str">
        <f>IF($O99="","",INDEX('Project Plan'!$T$2:$T$201,MATCH($O99,'Project Plan'!$V$2:$V$201,0)))</f>
        <v/>
      </c>
      <c r="N99" s="94" t="str">
        <f>IF($O99="","",INDEX('Project Plan'!$U$2:$U$201,MATCH($O99,'Project Plan'!$V$2:$V$201,0)))</f>
        <v/>
      </c>
      <c r="O99" s="45" t="str">
        <f>IF(ROW()-1&lt;=MAX('Project Plan'!$V$2:$V$201),ROW()-1,"")</f>
        <v/>
      </c>
    </row>
    <row r="100" spans="1:15" ht="13.9" customHeight="1" x14ac:dyDescent="0.25">
      <c r="A100" s="93" t="str">
        <f>IF($O100="","",INDEX('Project Plan'!$A$2:$A$201,MATCH($O100,'Project Plan'!$V$2:$V$201,0)))</f>
        <v/>
      </c>
      <c r="B100" s="45" t="str">
        <f>IF($O100="","",INDEX('Project Plan'!$B$2:$B$201,MATCH($O100,'Project Plan'!$V$2:$V$201,0)))</f>
        <v/>
      </c>
      <c r="C100" s="45" t="str">
        <f>IF($O100="","",INDEX('Project Plan'!$C$2:$C$201,MATCH($O100,'Project Plan'!$V$2:$V$201,0)))</f>
        <v/>
      </c>
      <c r="D100" s="45" t="str">
        <f>IF($O100="","",INDEX('Project Plan'!$D$2:$D$201,MATCH($O100,'Project Plan'!$V$2:$V$201,0)))</f>
        <v/>
      </c>
      <c r="E100" s="45" t="str">
        <f>IF($O100="","",INDEX('Project Plan'!$G$2:$G$201,MATCH($O100,'Project Plan'!$V$2:$V$201,0)))</f>
        <v/>
      </c>
      <c r="F100" s="46" t="str">
        <f>IF($O100="","",INDEX('Project Plan'!$I$2:$I$201,MATCH($O100,'Project Plan'!$V$2:$V$201,0)))</f>
        <v/>
      </c>
      <c r="G100" s="46" t="str">
        <f>IF($O100="","",INDEX('Project Plan'!$J$2:$J$201,MATCH($O100,'Project Plan'!$V$2:$V$201,0)))</f>
        <v/>
      </c>
      <c r="H100" s="46" t="str">
        <f>IF($O100="","",INDEX('Project Plan'!$M$2:$M$201,MATCH($O100,'Project Plan'!$V$2:$V$201,0)))</f>
        <v/>
      </c>
      <c r="I100" s="45" t="str">
        <f>IF($O100="","",INDEX('Project Plan'!$N$2:$N$201,MATCH($O100,'Project Plan'!$V$2:$V$201,0)))</f>
        <v/>
      </c>
      <c r="J100" s="47" t="str">
        <f>IF($O100="","",INDEX('Project Plan'!$O$2:$O$201,MATCH($O100,'Project Plan'!$V$2:$V$201,0)))</f>
        <v/>
      </c>
      <c r="K100" s="46" t="str">
        <f>IF($O100="","",INDEX('Project Plan'!$R$2:$R$201,MATCH($O100,'Project Plan'!$V$2:$V$201,0)))</f>
        <v/>
      </c>
      <c r="L100" s="38" t="str">
        <f>IF($O100="","",INDEX('Project Plan'!$S$2:$S$201,MATCH($O100,'Project Plan'!$V$2:$V$201,0)))</f>
        <v/>
      </c>
      <c r="M100" s="38" t="str">
        <f>IF($O100="","",INDEX('Project Plan'!$T$2:$T$201,MATCH($O100,'Project Plan'!$V$2:$V$201,0)))</f>
        <v/>
      </c>
      <c r="N100" s="94" t="str">
        <f>IF($O100="","",INDEX('Project Plan'!$U$2:$U$201,MATCH($O100,'Project Plan'!$V$2:$V$201,0)))</f>
        <v/>
      </c>
      <c r="O100" s="45" t="str">
        <f>IF(ROW()-1&lt;=MAX('Project Plan'!$V$2:$V$201),ROW()-1,"")</f>
        <v/>
      </c>
    </row>
    <row r="101" spans="1:15" ht="13.9" customHeight="1" x14ac:dyDescent="0.25">
      <c r="A101" s="93" t="str">
        <f>IF($O101="","",INDEX('Project Plan'!$A$2:$A$201,MATCH($O101,'Project Plan'!$V$2:$V$201,0)))</f>
        <v/>
      </c>
      <c r="B101" s="45" t="str">
        <f>IF($O101="","",INDEX('Project Plan'!$B$2:$B$201,MATCH($O101,'Project Plan'!$V$2:$V$201,0)))</f>
        <v/>
      </c>
      <c r="C101" s="45" t="str">
        <f>IF($O101="","",INDEX('Project Plan'!$C$2:$C$201,MATCH($O101,'Project Plan'!$V$2:$V$201,0)))</f>
        <v/>
      </c>
      <c r="D101" s="45" t="str">
        <f>IF($O101="","",INDEX('Project Plan'!$D$2:$D$201,MATCH($O101,'Project Plan'!$V$2:$V$201,0)))</f>
        <v/>
      </c>
      <c r="E101" s="45" t="str">
        <f>IF($O101="","",INDEX('Project Plan'!$G$2:$G$201,MATCH($O101,'Project Plan'!$V$2:$V$201,0)))</f>
        <v/>
      </c>
      <c r="F101" s="46" t="str">
        <f>IF($O101="","",INDEX('Project Plan'!$I$2:$I$201,MATCH($O101,'Project Plan'!$V$2:$V$201,0)))</f>
        <v/>
      </c>
      <c r="G101" s="46" t="str">
        <f>IF($O101="","",INDEX('Project Plan'!$J$2:$J$201,MATCH($O101,'Project Plan'!$V$2:$V$201,0)))</f>
        <v/>
      </c>
      <c r="H101" s="46" t="str">
        <f>IF($O101="","",INDEX('Project Plan'!$M$2:$M$201,MATCH($O101,'Project Plan'!$V$2:$V$201,0)))</f>
        <v/>
      </c>
      <c r="I101" s="45" t="str">
        <f>IF($O101="","",INDEX('Project Plan'!$N$2:$N$201,MATCH($O101,'Project Plan'!$V$2:$V$201,0)))</f>
        <v/>
      </c>
      <c r="J101" s="47" t="str">
        <f>IF($O101="","",INDEX('Project Plan'!$O$2:$O$201,MATCH($O101,'Project Plan'!$V$2:$V$201,0)))</f>
        <v/>
      </c>
      <c r="K101" s="46" t="str">
        <f>IF($O101="","",INDEX('Project Plan'!$R$2:$R$201,MATCH($O101,'Project Plan'!$V$2:$V$201,0)))</f>
        <v/>
      </c>
      <c r="L101" s="38" t="str">
        <f>IF($O101="","",INDEX('Project Plan'!$S$2:$S$201,MATCH($O101,'Project Plan'!$V$2:$V$201,0)))</f>
        <v/>
      </c>
      <c r="M101" s="38" t="str">
        <f>IF($O101="","",INDEX('Project Plan'!$T$2:$T$201,MATCH($O101,'Project Plan'!$V$2:$V$201,0)))</f>
        <v/>
      </c>
      <c r="N101" s="94" t="str">
        <f>IF($O101="","",INDEX('Project Plan'!$U$2:$U$201,MATCH($O101,'Project Plan'!$V$2:$V$201,0)))</f>
        <v/>
      </c>
      <c r="O101" s="45" t="str">
        <f>IF(ROW()-1&lt;=MAX('Project Plan'!$V$2:$V$201),ROW()-1,"")</f>
        <v/>
      </c>
    </row>
    <row r="102" spans="1:15" ht="13.9" customHeight="1" x14ac:dyDescent="0.25">
      <c r="A102" s="93" t="str">
        <f>IF($O102="","",INDEX('Project Plan'!$A$2:$A$201,MATCH($O102,'Project Plan'!$V$2:$V$201,0)))</f>
        <v/>
      </c>
      <c r="B102" s="45" t="str">
        <f>IF($O102="","",INDEX('Project Plan'!$B$2:$B$201,MATCH($O102,'Project Plan'!$V$2:$V$201,0)))</f>
        <v/>
      </c>
      <c r="C102" s="45" t="str">
        <f>IF($O102="","",INDEX('Project Plan'!$C$2:$C$201,MATCH($O102,'Project Plan'!$V$2:$V$201,0)))</f>
        <v/>
      </c>
      <c r="D102" s="45" t="str">
        <f>IF($O102="","",INDEX('Project Plan'!$D$2:$D$201,MATCH($O102,'Project Plan'!$V$2:$V$201,0)))</f>
        <v/>
      </c>
      <c r="E102" s="45" t="str">
        <f>IF($O102="","",INDEX('Project Plan'!$G$2:$G$201,MATCH($O102,'Project Plan'!$V$2:$V$201,0)))</f>
        <v/>
      </c>
      <c r="F102" s="46" t="str">
        <f>IF($O102="","",INDEX('Project Plan'!$I$2:$I$201,MATCH($O102,'Project Plan'!$V$2:$V$201,0)))</f>
        <v/>
      </c>
      <c r="G102" s="46" t="str">
        <f>IF($O102="","",INDEX('Project Plan'!$J$2:$J$201,MATCH($O102,'Project Plan'!$V$2:$V$201,0)))</f>
        <v/>
      </c>
      <c r="H102" s="46" t="str">
        <f>IF($O102="","",INDEX('Project Plan'!$M$2:$M$201,MATCH($O102,'Project Plan'!$V$2:$V$201,0)))</f>
        <v/>
      </c>
      <c r="I102" s="45" t="str">
        <f>IF($O102="","",INDEX('Project Plan'!$N$2:$N$201,MATCH($O102,'Project Plan'!$V$2:$V$201,0)))</f>
        <v/>
      </c>
      <c r="J102" s="47" t="str">
        <f>IF($O102="","",INDEX('Project Plan'!$O$2:$O$201,MATCH($O102,'Project Plan'!$V$2:$V$201,0)))</f>
        <v/>
      </c>
      <c r="K102" s="46" t="str">
        <f>IF($O102="","",INDEX('Project Plan'!$R$2:$R$201,MATCH($O102,'Project Plan'!$V$2:$V$201,0)))</f>
        <v/>
      </c>
      <c r="L102" s="38" t="str">
        <f>IF($O102="","",INDEX('Project Plan'!$S$2:$S$201,MATCH($O102,'Project Plan'!$V$2:$V$201,0)))</f>
        <v/>
      </c>
      <c r="M102" s="38" t="str">
        <f>IF($O102="","",INDEX('Project Plan'!$T$2:$T$201,MATCH($O102,'Project Plan'!$V$2:$V$201,0)))</f>
        <v/>
      </c>
      <c r="N102" s="94" t="str">
        <f>IF($O102="","",INDEX('Project Plan'!$U$2:$U$201,MATCH($O102,'Project Plan'!$V$2:$V$201,0)))</f>
        <v/>
      </c>
      <c r="O102" s="45" t="str">
        <f>IF(ROW()-1&lt;=MAX('Project Plan'!$V$2:$V$201),ROW()-1,"")</f>
        <v/>
      </c>
    </row>
    <row r="103" spans="1:15" ht="13.9" customHeight="1" x14ac:dyDescent="0.25">
      <c r="A103" s="93" t="str">
        <f>IF($O103="","",INDEX('Project Plan'!$A$2:$A$201,MATCH($O103,'Project Plan'!$V$2:$V$201,0)))</f>
        <v/>
      </c>
      <c r="B103" s="45" t="str">
        <f>IF($O103="","",INDEX('Project Plan'!$B$2:$B$201,MATCH($O103,'Project Plan'!$V$2:$V$201,0)))</f>
        <v/>
      </c>
      <c r="C103" s="45" t="str">
        <f>IF($O103="","",INDEX('Project Plan'!$C$2:$C$201,MATCH($O103,'Project Plan'!$V$2:$V$201,0)))</f>
        <v/>
      </c>
      <c r="D103" s="45" t="str">
        <f>IF($O103="","",INDEX('Project Plan'!$D$2:$D$201,MATCH($O103,'Project Plan'!$V$2:$V$201,0)))</f>
        <v/>
      </c>
      <c r="E103" s="45" t="str">
        <f>IF($O103="","",INDEX('Project Plan'!$G$2:$G$201,MATCH($O103,'Project Plan'!$V$2:$V$201,0)))</f>
        <v/>
      </c>
      <c r="F103" s="46" t="str">
        <f>IF($O103="","",INDEX('Project Plan'!$I$2:$I$201,MATCH($O103,'Project Plan'!$V$2:$V$201,0)))</f>
        <v/>
      </c>
      <c r="G103" s="46" t="str">
        <f>IF($O103="","",INDEX('Project Plan'!$J$2:$J$201,MATCH($O103,'Project Plan'!$V$2:$V$201,0)))</f>
        <v/>
      </c>
      <c r="H103" s="46" t="str">
        <f>IF($O103="","",INDEX('Project Plan'!$M$2:$M$201,MATCH($O103,'Project Plan'!$V$2:$V$201,0)))</f>
        <v/>
      </c>
      <c r="I103" s="45" t="str">
        <f>IF($O103="","",INDEX('Project Plan'!$N$2:$N$201,MATCH($O103,'Project Plan'!$V$2:$V$201,0)))</f>
        <v/>
      </c>
      <c r="J103" s="47" t="str">
        <f>IF($O103="","",INDEX('Project Plan'!$O$2:$O$201,MATCH($O103,'Project Plan'!$V$2:$V$201,0)))</f>
        <v/>
      </c>
      <c r="K103" s="46" t="str">
        <f>IF($O103="","",INDEX('Project Plan'!$R$2:$R$201,MATCH($O103,'Project Plan'!$V$2:$V$201,0)))</f>
        <v/>
      </c>
      <c r="L103" s="38" t="str">
        <f>IF($O103="","",INDEX('Project Plan'!$S$2:$S$201,MATCH($O103,'Project Plan'!$V$2:$V$201,0)))</f>
        <v/>
      </c>
      <c r="M103" s="38" t="str">
        <f>IF($O103="","",INDEX('Project Plan'!$T$2:$T$201,MATCH($O103,'Project Plan'!$V$2:$V$201,0)))</f>
        <v/>
      </c>
      <c r="N103" s="94" t="str">
        <f>IF($O103="","",INDEX('Project Plan'!$U$2:$U$201,MATCH($O103,'Project Plan'!$V$2:$V$201,0)))</f>
        <v/>
      </c>
      <c r="O103" s="45" t="str">
        <f>IF(ROW()-1&lt;=MAX('Project Plan'!$V$2:$V$201),ROW()-1,"")</f>
        <v/>
      </c>
    </row>
    <row r="104" spans="1:15" ht="13.9" customHeight="1" x14ac:dyDescent="0.25">
      <c r="A104" s="93" t="str">
        <f>IF($O104="","",INDEX('Project Plan'!$A$2:$A$201,MATCH($O104,'Project Plan'!$V$2:$V$201,0)))</f>
        <v/>
      </c>
      <c r="B104" s="45" t="str">
        <f>IF($O104="","",INDEX('Project Plan'!$B$2:$B$201,MATCH($O104,'Project Plan'!$V$2:$V$201,0)))</f>
        <v/>
      </c>
      <c r="C104" s="45" t="str">
        <f>IF($O104="","",INDEX('Project Plan'!$C$2:$C$201,MATCH($O104,'Project Plan'!$V$2:$V$201,0)))</f>
        <v/>
      </c>
      <c r="D104" s="45" t="str">
        <f>IF($O104="","",INDEX('Project Plan'!$D$2:$D$201,MATCH($O104,'Project Plan'!$V$2:$V$201,0)))</f>
        <v/>
      </c>
      <c r="E104" s="45" t="str">
        <f>IF($O104="","",INDEX('Project Plan'!$G$2:$G$201,MATCH($O104,'Project Plan'!$V$2:$V$201,0)))</f>
        <v/>
      </c>
      <c r="F104" s="46" t="str">
        <f>IF($O104="","",INDEX('Project Plan'!$I$2:$I$201,MATCH($O104,'Project Plan'!$V$2:$V$201,0)))</f>
        <v/>
      </c>
      <c r="G104" s="46" t="str">
        <f>IF($O104="","",INDEX('Project Plan'!$J$2:$J$201,MATCH($O104,'Project Plan'!$V$2:$V$201,0)))</f>
        <v/>
      </c>
      <c r="H104" s="46" t="str">
        <f>IF($O104="","",INDEX('Project Plan'!$M$2:$M$201,MATCH($O104,'Project Plan'!$V$2:$V$201,0)))</f>
        <v/>
      </c>
      <c r="I104" s="45" t="str">
        <f>IF($O104="","",INDEX('Project Plan'!$N$2:$N$201,MATCH($O104,'Project Plan'!$V$2:$V$201,0)))</f>
        <v/>
      </c>
      <c r="J104" s="47" t="str">
        <f>IF($O104="","",INDEX('Project Plan'!$O$2:$O$201,MATCH($O104,'Project Plan'!$V$2:$V$201,0)))</f>
        <v/>
      </c>
      <c r="K104" s="46" t="str">
        <f>IF($O104="","",INDEX('Project Plan'!$R$2:$R$201,MATCH($O104,'Project Plan'!$V$2:$V$201,0)))</f>
        <v/>
      </c>
      <c r="L104" s="38" t="str">
        <f>IF($O104="","",INDEX('Project Plan'!$S$2:$S$201,MATCH($O104,'Project Plan'!$V$2:$V$201,0)))</f>
        <v/>
      </c>
      <c r="M104" s="38" t="str">
        <f>IF($O104="","",INDEX('Project Plan'!$T$2:$T$201,MATCH($O104,'Project Plan'!$V$2:$V$201,0)))</f>
        <v/>
      </c>
      <c r="N104" s="94" t="str">
        <f>IF($O104="","",INDEX('Project Plan'!$U$2:$U$201,MATCH($O104,'Project Plan'!$V$2:$V$201,0)))</f>
        <v/>
      </c>
      <c r="O104" s="45" t="str">
        <f>IF(ROW()-1&lt;=MAX('Project Plan'!$V$2:$V$201),ROW()-1,"")</f>
        <v/>
      </c>
    </row>
    <row r="105" spans="1:15" ht="13.9" customHeight="1" x14ac:dyDescent="0.25">
      <c r="A105" s="93" t="str">
        <f>IF($O105="","",INDEX('Project Plan'!$A$2:$A$201,MATCH($O105,'Project Plan'!$V$2:$V$201,0)))</f>
        <v/>
      </c>
      <c r="B105" s="45" t="str">
        <f>IF($O105="","",INDEX('Project Plan'!$B$2:$B$201,MATCH($O105,'Project Plan'!$V$2:$V$201,0)))</f>
        <v/>
      </c>
      <c r="C105" s="45" t="str">
        <f>IF($O105="","",INDEX('Project Plan'!$C$2:$C$201,MATCH($O105,'Project Plan'!$V$2:$V$201,0)))</f>
        <v/>
      </c>
      <c r="D105" s="45" t="str">
        <f>IF($O105="","",INDEX('Project Plan'!$D$2:$D$201,MATCH($O105,'Project Plan'!$V$2:$V$201,0)))</f>
        <v/>
      </c>
      <c r="E105" s="45" t="str">
        <f>IF($O105="","",INDEX('Project Plan'!$G$2:$G$201,MATCH($O105,'Project Plan'!$V$2:$V$201,0)))</f>
        <v/>
      </c>
      <c r="F105" s="46" t="str">
        <f>IF($O105="","",INDEX('Project Plan'!$I$2:$I$201,MATCH($O105,'Project Plan'!$V$2:$V$201,0)))</f>
        <v/>
      </c>
      <c r="G105" s="46" t="str">
        <f>IF($O105="","",INDEX('Project Plan'!$J$2:$J$201,MATCH($O105,'Project Plan'!$V$2:$V$201,0)))</f>
        <v/>
      </c>
      <c r="H105" s="46" t="str">
        <f>IF($O105="","",INDEX('Project Plan'!$M$2:$M$201,MATCH($O105,'Project Plan'!$V$2:$V$201,0)))</f>
        <v/>
      </c>
      <c r="I105" s="45" t="str">
        <f>IF($O105="","",INDEX('Project Plan'!$N$2:$N$201,MATCH($O105,'Project Plan'!$V$2:$V$201,0)))</f>
        <v/>
      </c>
      <c r="J105" s="47" t="str">
        <f>IF($O105="","",INDEX('Project Plan'!$O$2:$O$201,MATCH($O105,'Project Plan'!$V$2:$V$201,0)))</f>
        <v/>
      </c>
      <c r="K105" s="46" t="str">
        <f>IF($O105="","",INDEX('Project Plan'!$R$2:$R$201,MATCH($O105,'Project Plan'!$V$2:$V$201,0)))</f>
        <v/>
      </c>
      <c r="L105" s="38" t="str">
        <f>IF($O105="","",INDEX('Project Plan'!$S$2:$S$201,MATCH($O105,'Project Plan'!$V$2:$V$201,0)))</f>
        <v/>
      </c>
      <c r="M105" s="38" t="str">
        <f>IF($O105="","",INDEX('Project Plan'!$T$2:$T$201,MATCH($O105,'Project Plan'!$V$2:$V$201,0)))</f>
        <v/>
      </c>
      <c r="N105" s="94" t="str">
        <f>IF($O105="","",INDEX('Project Plan'!$U$2:$U$201,MATCH($O105,'Project Plan'!$V$2:$V$201,0)))</f>
        <v/>
      </c>
      <c r="O105" s="45" t="str">
        <f>IF(ROW()-1&lt;=MAX('Project Plan'!$V$2:$V$201),ROW()-1,"")</f>
        <v/>
      </c>
    </row>
    <row r="106" spans="1:15" ht="13.9" customHeight="1" x14ac:dyDescent="0.25">
      <c r="A106" s="93" t="str">
        <f>IF($O106="","",INDEX('Project Plan'!$A$2:$A$201,MATCH($O106,'Project Plan'!$V$2:$V$201,0)))</f>
        <v/>
      </c>
      <c r="B106" s="45" t="str">
        <f>IF($O106="","",INDEX('Project Plan'!$B$2:$B$201,MATCH($O106,'Project Plan'!$V$2:$V$201,0)))</f>
        <v/>
      </c>
      <c r="C106" s="45" t="str">
        <f>IF($O106="","",INDEX('Project Plan'!$C$2:$C$201,MATCH($O106,'Project Plan'!$V$2:$V$201,0)))</f>
        <v/>
      </c>
      <c r="D106" s="45" t="str">
        <f>IF($O106="","",INDEX('Project Plan'!$D$2:$D$201,MATCH($O106,'Project Plan'!$V$2:$V$201,0)))</f>
        <v/>
      </c>
      <c r="E106" s="45" t="str">
        <f>IF($O106="","",INDEX('Project Plan'!$G$2:$G$201,MATCH($O106,'Project Plan'!$V$2:$V$201,0)))</f>
        <v/>
      </c>
      <c r="F106" s="46" t="str">
        <f>IF($O106="","",INDEX('Project Plan'!$I$2:$I$201,MATCH($O106,'Project Plan'!$V$2:$V$201,0)))</f>
        <v/>
      </c>
      <c r="G106" s="46" t="str">
        <f>IF($O106="","",INDEX('Project Plan'!$J$2:$J$201,MATCH($O106,'Project Plan'!$V$2:$V$201,0)))</f>
        <v/>
      </c>
      <c r="H106" s="46" t="str">
        <f>IF($O106="","",INDEX('Project Plan'!$M$2:$M$201,MATCH($O106,'Project Plan'!$V$2:$V$201,0)))</f>
        <v/>
      </c>
      <c r="I106" s="45" t="str">
        <f>IF($O106="","",INDEX('Project Plan'!$N$2:$N$201,MATCH($O106,'Project Plan'!$V$2:$V$201,0)))</f>
        <v/>
      </c>
      <c r="J106" s="47" t="str">
        <f>IF($O106="","",INDEX('Project Plan'!$O$2:$O$201,MATCH($O106,'Project Plan'!$V$2:$V$201,0)))</f>
        <v/>
      </c>
      <c r="K106" s="46" t="str">
        <f>IF($O106="","",INDEX('Project Plan'!$R$2:$R$201,MATCH($O106,'Project Plan'!$V$2:$V$201,0)))</f>
        <v/>
      </c>
      <c r="L106" s="38" t="str">
        <f>IF($O106="","",INDEX('Project Plan'!$S$2:$S$201,MATCH($O106,'Project Plan'!$V$2:$V$201,0)))</f>
        <v/>
      </c>
      <c r="M106" s="38" t="str">
        <f>IF($O106="","",INDEX('Project Plan'!$T$2:$T$201,MATCH($O106,'Project Plan'!$V$2:$V$201,0)))</f>
        <v/>
      </c>
      <c r="N106" s="94" t="str">
        <f>IF($O106="","",INDEX('Project Plan'!$U$2:$U$201,MATCH($O106,'Project Plan'!$V$2:$V$201,0)))</f>
        <v/>
      </c>
      <c r="O106" s="45" t="str">
        <f>IF(ROW()-1&lt;=MAX('Project Plan'!$V$2:$V$201),ROW()-1,"")</f>
        <v/>
      </c>
    </row>
    <row r="107" spans="1:15" ht="13.9" customHeight="1" x14ac:dyDescent="0.25">
      <c r="A107" s="93" t="str">
        <f>IF($O107="","",INDEX('Project Plan'!$A$2:$A$201,MATCH($O107,'Project Plan'!$V$2:$V$201,0)))</f>
        <v/>
      </c>
      <c r="B107" s="45" t="str">
        <f>IF($O107="","",INDEX('Project Plan'!$B$2:$B$201,MATCH($O107,'Project Plan'!$V$2:$V$201,0)))</f>
        <v/>
      </c>
      <c r="C107" s="45" t="str">
        <f>IF($O107="","",INDEX('Project Plan'!$C$2:$C$201,MATCH($O107,'Project Plan'!$V$2:$V$201,0)))</f>
        <v/>
      </c>
      <c r="D107" s="45" t="str">
        <f>IF($O107="","",INDEX('Project Plan'!$D$2:$D$201,MATCH($O107,'Project Plan'!$V$2:$V$201,0)))</f>
        <v/>
      </c>
      <c r="E107" s="45" t="str">
        <f>IF($O107="","",INDEX('Project Plan'!$G$2:$G$201,MATCH($O107,'Project Plan'!$V$2:$V$201,0)))</f>
        <v/>
      </c>
      <c r="F107" s="46" t="str">
        <f>IF($O107="","",INDEX('Project Plan'!$I$2:$I$201,MATCH($O107,'Project Plan'!$V$2:$V$201,0)))</f>
        <v/>
      </c>
      <c r="G107" s="46" t="str">
        <f>IF($O107="","",INDEX('Project Plan'!$J$2:$J$201,MATCH($O107,'Project Plan'!$V$2:$V$201,0)))</f>
        <v/>
      </c>
      <c r="H107" s="46" t="str">
        <f>IF($O107="","",INDEX('Project Plan'!$M$2:$M$201,MATCH($O107,'Project Plan'!$V$2:$V$201,0)))</f>
        <v/>
      </c>
      <c r="I107" s="45" t="str">
        <f>IF($O107="","",INDEX('Project Plan'!$N$2:$N$201,MATCH($O107,'Project Plan'!$V$2:$V$201,0)))</f>
        <v/>
      </c>
      <c r="J107" s="47" t="str">
        <f>IF($O107="","",INDEX('Project Plan'!$O$2:$O$201,MATCH($O107,'Project Plan'!$V$2:$V$201,0)))</f>
        <v/>
      </c>
      <c r="K107" s="46" t="str">
        <f>IF($O107="","",INDEX('Project Plan'!$R$2:$R$201,MATCH($O107,'Project Plan'!$V$2:$V$201,0)))</f>
        <v/>
      </c>
      <c r="L107" s="38" t="str">
        <f>IF($O107="","",INDEX('Project Plan'!$S$2:$S$201,MATCH($O107,'Project Plan'!$V$2:$V$201,0)))</f>
        <v/>
      </c>
      <c r="M107" s="38" t="str">
        <f>IF($O107="","",INDEX('Project Plan'!$T$2:$T$201,MATCH($O107,'Project Plan'!$V$2:$V$201,0)))</f>
        <v/>
      </c>
      <c r="N107" s="94" t="str">
        <f>IF($O107="","",INDEX('Project Plan'!$U$2:$U$201,MATCH($O107,'Project Plan'!$V$2:$V$201,0)))</f>
        <v/>
      </c>
      <c r="O107" s="45" t="str">
        <f>IF(ROW()-1&lt;=MAX('Project Plan'!$V$2:$V$201),ROW()-1,"")</f>
        <v/>
      </c>
    </row>
    <row r="108" spans="1:15" ht="13.9" customHeight="1" x14ac:dyDescent="0.25">
      <c r="A108" s="93" t="str">
        <f>IF($O108="","",INDEX('Project Plan'!$A$2:$A$201,MATCH($O108,'Project Plan'!$V$2:$V$201,0)))</f>
        <v/>
      </c>
      <c r="B108" s="45" t="str">
        <f>IF($O108="","",INDEX('Project Plan'!$B$2:$B$201,MATCH($O108,'Project Plan'!$V$2:$V$201,0)))</f>
        <v/>
      </c>
      <c r="C108" s="45" t="str">
        <f>IF($O108="","",INDEX('Project Plan'!$C$2:$C$201,MATCH($O108,'Project Plan'!$V$2:$V$201,0)))</f>
        <v/>
      </c>
      <c r="D108" s="45" t="str">
        <f>IF($O108="","",INDEX('Project Plan'!$D$2:$D$201,MATCH($O108,'Project Plan'!$V$2:$V$201,0)))</f>
        <v/>
      </c>
      <c r="E108" s="45" t="str">
        <f>IF($O108="","",INDEX('Project Plan'!$G$2:$G$201,MATCH($O108,'Project Plan'!$V$2:$V$201,0)))</f>
        <v/>
      </c>
      <c r="F108" s="46" t="str">
        <f>IF($O108="","",INDEX('Project Plan'!$I$2:$I$201,MATCH($O108,'Project Plan'!$V$2:$V$201,0)))</f>
        <v/>
      </c>
      <c r="G108" s="46" t="str">
        <f>IF($O108="","",INDEX('Project Plan'!$J$2:$J$201,MATCH($O108,'Project Plan'!$V$2:$V$201,0)))</f>
        <v/>
      </c>
      <c r="H108" s="46" t="str">
        <f>IF($O108="","",INDEX('Project Plan'!$M$2:$M$201,MATCH($O108,'Project Plan'!$V$2:$V$201,0)))</f>
        <v/>
      </c>
      <c r="I108" s="45" t="str">
        <f>IF($O108="","",INDEX('Project Plan'!$N$2:$N$201,MATCH($O108,'Project Plan'!$V$2:$V$201,0)))</f>
        <v/>
      </c>
      <c r="J108" s="47" t="str">
        <f>IF($O108="","",INDEX('Project Plan'!$O$2:$O$201,MATCH($O108,'Project Plan'!$V$2:$V$201,0)))</f>
        <v/>
      </c>
      <c r="K108" s="46" t="str">
        <f>IF($O108="","",INDEX('Project Plan'!$R$2:$R$201,MATCH($O108,'Project Plan'!$V$2:$V$201,0)))</f>
        <v/>
      </c>
      <c r="L108" s="38" t="str">
        <f>IF($O108="","",INDEX('Project Plan'!$S$2:$S$201,MATCH($O108,'Project Plan'!$V$2:$V$201,0)))</f>
        <v/>
      </c>
      <c r="M108" s="38" t="str">
        <f>IF($O108="","",INDEX('Project Plan'!$T$2:$T$201,MATCH($O108,'Project Plan'!$V$2:$V$201,0)))</f>
        <v/>
      </c>
      <c r="N108" s="94" t="str">
        <f>IF($O108="","",INDEX('Project Plan'!$U$2:$U$201,MATCH($O108,'Project Plan'!$V$2:$V$201,0)))</f>
        <v/>
      </c>
      <c r="O108" s="45" t="str">
        <f>IF(ROW()-1&lt;=MAX('Project Plan'!$V$2:$V$201),ROW()-1,"")</f>
        <v/>
      </c>
    </row>
    <row r="109" spans="1:15" ht="13.9" customHeight="1" x14ac:dyDescent="0.25">
      <c r="A109" s="93" t="str">
        <f>IF($O109="","",INDEX('Project Plan'!$A$2:$A$201,MATCH($O109,'Project Plan'!$V$2:$V$201,0)))</f>
        <v/>
      </c>
      <c r="B109" s="45" t="str">
        <f>IF($O109="","",INDEX('Project Plan'!$B$2:$B$201,MATCH($O109,'Project Plan'!$V$2:$V$201,0)))</f>
        <v/>
      </c>
      <c r="C109" s="45" t="str">
        <f>IF($O109="","",INDEX('Project Plan'!$C$2:$C$201,MATCH($O109,'Project Plan'!$V$2:$V$201,0)))</f>
        <v/>
      </c>
      <c r="D109" s="45" t="str">
        <f>IF($O109="","",INDEX('Project Plan'!$D$2:$D$201,MATCH($O109,'Project Plan'!$V$2:$V$201,0)))</f>
        <v/>
      </c>
      <c r="E109" s="45" t="str">
        <f>IF($O109="","",INDEX('Project Plan'!$G$2:$G$201,MATCH($O109,'Project Plan'!$V$2:$V$201,0)))</f>
        <v/>
      </c>
      <c r="F109" s="46" t="str">
        <f>IF($O109="","",INDEX('Project Plan'!$I$2:$I$201,MATCH($O109,'Project Plan'!$V$2:$V$201,0)))</f>
        <v/>
      </c>
      <c r="G109" s="46" t="str">
        <f>IF($O109="","",INDEX('Project Plan'!$J$2:$J$201,MATCH($O109,'Project Plan'!$V$2:$V$201,0)))</f>
        <v/>
      </c>
      <c r="H109" s="46" t="str">
        <f>IF($O109="","",INDEX('Project Plan'!$M$2:$M$201,MATCH($O109,'Project Plan'!$V$2:$V$201,0)))</f>
        <v/>
      </c>
      <c r="I109" s="45" t="str">
        <f>IF($O109="","",INDEX('Project Plan'!$N$2:$N$201,MATCH($O109,'Project Plan'!$V$2:$V$201,0)))</f>
        <v/>
      </c>
      <c r="J109" s="47" t="str">
        <f>IF($O109="","",INDEX('Project Plan'!$O$2:$O$201,MATCH($O109,'Project Plan'!$V$2:$V$201,0)))</f>
        <v/>
      </c>
      <c r="K109" s="46" t="str">
        <f>IF($O109="","",INDEX('Project Plan'!$R$2:$R$201,MATCH($O109,'Project Plan'!$V$2:$V$201,0)))</f>
        <v/>
      </c>
      <c r="L109" s="38" t="str">
        <f>IF($O109="","",INDEX('Project Plan'!$S$2:$S$201,MATCH($O109,'Project Plan'!$V$2:$V$201,0)))</f>
        <v/>
      </c>
      <c r="M109" s="38" t="str">
        <f>IF($O109="","",INDEX('Project Plan'!$T$2:$T$201,MATCH($O109,'Project Plan'!$V$2:$V$201,0)))</f>
        <v/>
      </c>
      <c r="N109" s="94" t="str">
        <f>IF($O109="","",INDEX('Project Plan'!$U$2:$U$201,MATCH($O109,'Project Plan'!$V$2:$V$201,0)))</f>
        <v/>
      </c>
      <c r="O109" s="45" t="str">
        <f>IF(ROW()-1&lt;=MAX('Project Plan'!$V$2:$V$201),ROW()-1,"")</f>
        <v/>
      </c>
    </row>
    <row r="110" spans="1:15" ht="13.9" customHeight="1" x14ac:dyDescent="0.25">
      <c r="A110" s="93" t="str">
        <f>IF($O110="","",INDEX('Project Plan'!$A$2:$A$201,MATCH($O110,'Project Plan'!$V$2:$V$201,0)))</f>
        <v/>
      </c>
      <c r="B110" s="45" t="str">
        <f>IF($O110="","",INDEX('Project Plan'!$B$2:$B$201,MATCH($O110,'Project Plan'!$V$2:$V$201,0)))</f>
        <v/>
      </c>
      <c r="C110" s="45" t="str">
        <f>IF($O110="","",INDEX('Project Plan'!$C$2:$C$201,MATCH($O110,'Project Plan'!$V$2:$V$201,0)))</f>
        <v/>
      </c>
      <c r="D110" s="45" t="str">
        <f>IF($O110="","",INDEX('Project Plan'!$D$2:$D$201,MATCH($O110,'Project Plan'!$V$2:$V$201,0)))</f>
        <v/>
      </c>
      <c r="E110" s="45" t="str">
        <f>IF($O110="","",INDEX('Project Plan'!$G$2:$G$201,MATCH($O110,'Project Plan'!$V$2:$V$201,0)))</f>
        <v/>
      </c>
      <c r="F110" s="46" t="str">
        <f>IF($O110="","",INDEX('Project Plan'!$I$2:$I$201,MATCH($O110,'Project Plan'!$V$2:$V$201,0)))</f>
        <v/>
      </c>
      <c r="G110" s="46" t="str">
        <f>IF($O110="","",INDEX('Project Plan'!$J$2:$J$201,MATCH($O110,'Project Plan'!$V$2:$V$201,0)))</f>
        <v/>
      </c>
      <c r="H110" s="46" t="str">
        <f>IF($O110="","",INDEX('Project Plan'!$M$2:$M$201,MATCH($O110,'Project Plan'!$V$2:$V$201,0)))</f>
        <v/>
      </c>
      <c r="I110" s="45" t="str">
        <f>IF($O110="","",INDEX('Project Plan'!$N$2:$N$201,MATCH($O110,'Project Plan'!$V$2:$V$201,0)))</f>
        <v/>
      </c>
      <c r="J110" s="47" t="str">
        <f>IF($O110="","",INDEX('Project Plan'!$O$2:$O$201,MATCH($O110,'Project Plan'!$V$2:$V$201,0)))</f>
        <v/>
      </c>
      <c r="K110" s="46" t="str">
        <f>IF($O110="","",INDEX('Project Plan'!$R$2:$R$201,MATCH($O110,'Project Plan'!$V$2:$V$201,0)))</f>
        <v/>
      </c>
      <c r="L110" s="38" t="str">
        <f>IF($O110="","",INDEX('Project Plan'!$S$2:$S$201,MATCH($O110,'Project Plan'!$V$2:$V$201,0)))</f>
        <v/>
      </c>
      <c r="M110" s="38" t="str">
        <f>IF($O110="","",INDEX('Project Plan'!$T$2:$T$201,MATCH($O110,'Project Plan'!$V$2:$V$201,0)))</f>
        <v/>
      </c>
      <c r="N110" s="94" t="str">
        <f>IF($O110="","",INDEX('Project Plan'!$U$2:$U$201,MATCH($O110,'Project Plan'!$V$2:$V$201,0)))</f>
        <v/>
      </c>
      <c r="O110" s="45" t="str">
        <f>IF(ROW()-1&lt;=MAX('Project Plan'!$V$2:$V$201),ROW()-1,"")</f>
        <v/>
      </c>
    </row>
    <row r="111" spans="1:15" ht="13.9" customHeight="1" x14ac:dyDescent="0.25">
      <c r="A111" s="93" t="str">
        <f>IF($O111="","",INDEX('Project Plan'!$A$2:$A$201,MATCH($O111,'Project Plan'!$V$2:$V$201,0)))</f>
        <v/>
      </c>
      <c r="B111" s="45" t="str">
        <f>IF($O111="","",INDEX('Project Plan'!$B$2:$B$201,MATCH($O111,'Project Plan'!$V$2:$V$201,0)))</f>
        <v/>
      </c>
      <c r="C111" s="45" t="str">
        <f>IF($O111="","",INDEX('Project Plan'!$C$2:$C$201,MATCH($O111,'Project Plan'!$V$2:$V$201,0)))</f>
        <v/>
      </c>
      <c r="D111" s="45" t="str">
        <f>IF($O111="","",INDEX('Project Plan'!$D$2:$D$201,MATCH($O111,'Project Plan'!$V$2:$V$201,0)))</f>
        <v/>
      </c>
      <c r="E111" s="45" t="str">
        <f>IF($O111="","",INDEX('Project Plan'!$G$2:$G$201,MATCH($O111,'Project Plan'!$V$2:$V$201,0)))</f>
        <v/>
      </c>
      <c r="F111" s="46" t="str">
        <f>IF($O111="","",INDEX('Project Plan'!$I$2:$I$201,MATCH($O111,'Project Plan'!$V$2:$V$201,0)))</f>
        <v/>
      </c>
      <c r="G111" s="46" t="str">
        <f>IF($O111="","",INDEX('Project Plan'!$J$2:$J$201,MATCH($O111,'Project Plan'!$V$2:$V$201,0)))</f>
        <v/>
      </c>
      <c r="H111" s="46" t="str">
        <f>IF($O111="","",INDEX('Project Plan'!$M$2:$M$201,MATCH($O111,'Project Plan'!$V$2:$V$201,0)))</f>
        <v/>
      </c>
      <c r="I111" s="45" t="str">
        <f>IF($O111="","",INDEX('Project Plan'!$N$2:$N$201,MATCH($O111,'Project Plan'!$V$2:$V$201,0)))</f>
        <v/>
      </c>
      <c r="J111" s="47" t="str">
        <f>IF($O111="","",INDEX('Project Plan'!$O$2:$O$201,MATCH($O111,'Project Plan'!$V$2:$V$201,0)))</f>
        <v/>
      </c>
      <c r="K111" s="46" t="str">
        <f>IF($O111="","",INDEX('Project Plan'!$R$2:$R$201,MATCH($O111,'Project Plan'!$V$2:$V$201,0)))</f>
        <v/>
      </c>
      <c r="L111" s="38" t="str">
        <f>IF($O111="","",INDEX('Project Plan'!$S$2:$S$201,MATCH($O111,'Project Plan'!$V$2:$V$201,0)))</f>
        <v/>
      </c>
      <c r="M111" s="38" t="str">
        <f>IF($O111="","",INDEX('Project Plan'!$T$2:$T$201,MATCH($O111,'Project Plan'!$V$2:$V$201,0)))</f>
        <v/>
      </c>
      <c r="N111" s="94" t="str">
        <f>IF($O111="","",INDEX('Project Plan'!$U$2:$U$201,MATCH($O111,'Project Plan'!$V$2:$V$201,0)))</f>
        <v/>
      </c>
      <c r="O111" s="45" t="str">
        <f>IF(ROW()-1&lt;=MAX('Project Plan'!$V$2:$V$201),ROW()-1,"")</f>
        <v/>
      </c>
    </row>
    <row r="112" spans="1:15" ht="13.9" customHeight="1" x14ac:dyDescent="0.25">
      <c r="A112" s="93" t="str">
        <f>IF($O112="","",INDEX('Project Plan'!$A$2:$A$201,MATCH($O112,'Project Plan'!$V$2:$V$201,0)))</f>
        <v/>
      </c>
      <c r="B112" s="45" t="str">
        <f>IF($O112="","",INDEX('Project Plan'!$B$2:$B$201,MATCH($O112,'Project Plan'!$V$2:$V$201,0)))</f>
        <v/>
      </c>
      <c r="C112" s="45" t="str">
        <f>IF($O112="","",INDEX('Project Plan'!$C$2:$C$201,MATCH($O112,'Project Plan'!$V$2:$V$201,0)))</f>
        <v/>
      </c>
      <c r="D112" s="45" t="str">
        <f>IF($O112="","",INDEX('Project Plan'!$D$2:$D$201,MATCH($O112,'Project Plan'!$V$2:$V$201,0)))</f>
        <v/>
      </c>
      <c r="E112" s="45" t="str">
        <f>IF($O112="","",INDEX('Project Plan'!$G$2:$G$201,MATCH($O112,'Project Plan'!$V$2:$V$201,0)))</f>
        <v/>
      </c>
      <c r="F112" s="46" t="str">
        <f>IF($O112="","",INDEX('Project Plan'!$I$2:$I$201,MATCH($O112,'Project Plan'!$V$2:$V$201,0)))</f>
        <v/>
      </c>
      <c r="G112" s="46" t="str">
        <f>IF($O112="","",INDEX('Project Plan'!$J$2:$J$201,MATCH($O112,'Project Plan'!$V$2:$V$201,0)))</f>
        <v/>
      </c>
      <c r="H112" s="46" t="str">
        <f>IF($O112="","",INDEX('Project Plan'!$M$2:$M$201,MATCH($O112,'Project Plan'!$V$2:$V$201,0)))</f>
        <v/>
      </c>
      <c r="I112" s="45" t="str">
        <f>IF($O112="","",INDEX('Project Plan'!$N$2:$N$201,MATCH($O112,'Project Plan'!$V$2:$V$201,0)))</f>
        <v/>
      </c>
      <c r="J112" s="47" t="str">
        <f>IF($O112="","",INDEX('Project Plan'!$O$2:$O$201,MATCH($O112,'Project Plan'!$V$2:$V$201,0)))</f>
        <v/>
      </c>
      <c r="K112" s="46" t="str">
        <f>IF($O112="","",INDEX('Project Plan'!$R$2:$R$201,MATCH($O112,'Project Plan'!$V$2:$V$201,0)))</f>
        <v/>
      </c>
      <c r="L112" s="38" t="str">
        <f>IF($O112="","",INDEX('Project Plan'!$S$2:$S$201,MATCH($O112,'Project Plan'!$V$2:$V$201,0)))</f>
        <v/>
      </c>
      <c r="M112" s="38" t="str">
        <f>IF($O112="","",INDEX('Project Plan'!$T$2:$T$201,MATCH($O112,'Project Plan'!$V$2:$V$201,0)))</f>
        <v/>
      </c>
      <c r="N112" s="94" t="str">
        <f>IF($O112="","",INDEX('Project Plan'!$U$2:$U$201,MATCH($O112,'Project Plan'!$V$2:$V$201,0)))</f>
        <v/>
      </c>
      <c r="O112" s="45" t="str">
        <f>IF(ROW()-1&lt;=MAX('Project Plan'!$V$2:$V$201),ROW()-1,"")</f>
        <v/>
      </c>
    </row>
    <row r="113" spans="1:15" ht="13.9" customHeight="1" x14ac:dyDescent="0.25">
      <c r="A113" s="93" t="str">
        <f>IF($O113="","",INDEX('Project Plan'!$A$2:$A$201,MATCH($O113,'Project Plan'!$V$2:$V$201,0)))</f>
        <v/>
      </c>
      <c r="B113" s="45" t="str">
        <f>IF($O113="","",INDEX('Project Plan'!$B$2:$B$201,MATCH($O113,'Project Plan'!$V$2:$V$201,0)))</f>
        <v/>
      </c>
      <c r="C113" s="45" t="str">
        <f>IF($O113="","",INDEX('Project Plan'!$C$2:$C$201,MATCH($O113,'Project Plan'!$V$2:$V$201,0)))</f>
        <v/>
      </c>
      <c r="D113" s="45" t="str">
        <f>IF($O113="","",INDEX('Project Plan'!$D$2:$D$201,MATCH($O113,'Project Plan'!$V$2:$V$201,0)))</f>
        <v/>
      </c>
      <c r="E113" s="45" t="str">
        <f>IF($O113="","",INDEX('Project Plan'!$G$2:$G$201,MATCH($O113,'Project Plan'!$V$2:$V$201,0)))</f>
        <v/>
      </c>
      <c r="F113" s="46" t="str">
        <f>IF($O113="","",INDEX('Project Plan'!$I$2:$I$201,MATCH($O113,'Project Plan'!$V$2:$V$201,0)))</f>
        <v/>
      </c>
      <c r="G113" s="46" t="str">
        <f>IF($O113="","",INDEX('Project Plan'!$J$2:$J$201,MATCH($O113,'Project Plan'!$V$2:$V$201,0)))</f>
        <v/>
      </c>
      <c r="H113" s="46" t="str">
        <f>IF($O113="","",INDEX('Project Plan'!$M$2:$M$201,MATCH($O113,'Project Plan'!$V$2:$V$201,0)))</f>
        <v/>
      </c>
      <c r="I113" s="45" t="str">
        <f>IF($O113="","",INDEX('Project Plan'!$N$2:$N$201,MATCH($O113,'Project Plan'!$V$2:$V$201,0)))</f>
        <v/>
      </c>
      <c r="J113" s="47" t="str">
        <f>IF($O113="","",INDEX('Project Plan'!$O$2:$O$201,MATCH($O113,'Project Plan'!$V$2:$V$201,0)))</f>
        <v/>
      </c>
      <c r="K113" s="46" t="str">
        <f>IF($O113="","",INDEX('Project Plan'!$R$2:$R$201,MATCH($O113,'Project Plan'!$V$2:$V$201,0)))</f>
        <v/>
      </c>
      <c r="L113" s="38" t="str">
        <f>IF($O113="","",INDEX('Project Plan'!$S$2:$S$201,MATCH($O113,'Project Plan'!$V$2:$V$201,0)))</f>
        <v/>
      </c>
      <c r="M113" s="38" t="str">
        <f>IF($O113="","",INDEX('Project Plan'!$T$2:$T$201,MATCH($O113,'Project Plan'!$V$2:$V$201,0)))</f>
        <v/>
      </c>
      <c r="N113" s="94" t="str">
        <f>IF($O113="","",INDEX('Project Plan'!$U$2:$U$201,MATCH($O113,'Project Plan'!$V$2:$V$201,0)))</f>
        <v/>
      </c>
      <c r="O113" s="45" t="str">
        <f>IF(ROW()-1&lt;=MAX('Project Plan'!$V$2:$V$201),ROW()-1,"")</f>
        <v/>
      </c>
    </row>
    <row r="114" spans="1:15" ht="13.9" customHeight="1" x14ac:dyDescent="0.25">
      <c r="A114" s="93" t="str">
        <f>IF($O114="","",INDEX('Project Plan'!$A$2:$A$201,MATCH($O114,'Project Plan'!$V$2:$V$201,0)))</f>
        <v/>
      </c>
      <c r="B114" s="45" t="str">
        <f>IF($O114="","",INDEX('Project Plan'!$B$2:$B$201,MATCH($O114,'Project Plan'!$V$2:$V$201,0)))</f>
        <v/>
      </c>
      <c r="C114" s="45" t="str">
        <f>IF($O114="","",INDEX('Project Plan'!$C$2:$C$201,MATCH($O114,'Project Plan'!$V$2:$V$201,0)))</f>
        <v/>
      </c>
      <c r="D114" s="45" t="str">
        <f>IF($O114="","",INDEX('Project Plan'!$D$2:$D$201,MATCH($O114,'Project Plan'!$V$2:$V$201,0)))</f>
        <v/>
      </c>
      <c r="E114" s="45" t="str">
        <f>IF($O114="","",INDEX('Project Plan'!$G$2:$G$201,MATCH($O114,'Project Plan'!$V$2:$V$201,0)))</f>
        <v/>
      </c>
      <c r="F114" s="46" t="str">
        <f>IF($O114="","",INDEX('Project Plan'!$I$2:$I$201,MATCH($O114,'Project Plan'!$V$2:$V$201,0)))</f>
        <v/>
      </c>
      <c r="G114" s="46" t="str">
        <f>IF($O114="","",INDEX('Project Plan'!$J$2:$J$201,MATCH($O114,'Project Plan'!$V$2:$V$201,0)))</f>
        <v/>
      </c>
      <c r="H114" s="46" t="str">
        <f>IF($O114="","",INDEX('Project Plan'!$M$2:$M$201,MATCH($O114,'Project Plan'!$V$2:$V$201,0)))</f>
        <v/>
      </c>
      <c r="I114" s="45" t="str">
        <f>IF($O114="","",INDEX('Project Plan'!$N$2:$N$201,MATCH($O114,'Project Plan'!$V$2:$V$201,0)))</f>
        <v/>
      </c>
      <c r="J114" s="47" t="str">
        <f>IF($O114="","",INDEX('Project Plan'!$O$2:$O$201,MATCH($O114,'Project Plan'!$V$2:$V$201,0)))</f>
        <v/>
      </c>
      <c r="K114" s="46" t="str">
        <f>IF($O114="","",INDEX('Project Plan'!$R$2:$R$201,MATCH($O114,'Project Plan'!$V$2:$V$201,0)))</f>
        <v/>
      </c>
      <c r="L114" s="38" t="str">
        <f>IF($O114="","",INDEX('Project Plan'!$S$2:$S$201,MATCH($O114,'Project Plan'!$V$2:$V$201,0)))</f>
        <v/>
      </c>
      <c r="M114" s="38" t="str">
        <f>IF($O114="","",INDEX('Project Plan'!$T$2:$T$201,MATCH($O114,'Project Plan'!$V$2:$V$201,0)))</f>
        <v/>
      </c>
      <c r="N114" s="94" t="str">
        <f>IF($O114="","",INDEX('Project Plan'!$U$2:$U$201,MATCH($O114,'Project Plan'!$V$2:$V$201,0)))</f>
        <v/>
      </c>
      <c r="O114" s="45" t="str">
        <f>IF(ROW()-1&lt;=MAX('Project Plan'!$V$2:$V$201),ROW()-1,"")</f>
        <v/>
      </c>
    </row>
    <row r="115" spans="1:15" ht="13.9" customHeight="1" x14ac:dyDescent="0.25">
      <c r="A115" s="93" t="str">
        <f>IF($O115="","",INDEX('Project Plan'!$A$2:$A$201,MATCH($O115,'Project Plan'!$V$2:$V$201,0)))</f>
        <v/>
      </c>
      <c r="B115" s="45" t="str">
        <f>IF($O115="","",INDEX('Project Plan'!$B$2:$B$201,MATCH($O115,'Project Plan'!$V$2:$V$201,0)))</f>
        <v/>
      </c>
      <c r="C115" s="45" t="str">
        <f>IF($O115="","",INDEX('Project Plan'!$C$2:$C$201,MATCH($O115,'Project Plan'!$V$2:$V$201,0)))</f>
        <v/>
      </c>
      <c r="D115" s="45" t="str">
        <f>IF($O115="","",INDEX('Project Plan'!$D$2:$D$201,MATCH($O115,'Project Plan'!$V$2:$V$201,0)))</f>
        <v/>
      </c>
      <c r="E115" s="45" t="str">
        <f>IF($O115="","",INDEX('Project Plan'!$G$2:$G$201,MATCH($O115,'Project Plan'!$V$2:$V$201,0)))</f>
        <v/>
      </c>
      <c r="F115" s="46" t="str">
        <f>IF($O115="","",INDEX('Project Plan'!$I$2:$I$201,MATCH($O115,'Project Plan'!$V$2:$V$201,0)))</f>
        <v/>
      </c>
      <c r="G115" s="46" t="str">
        <f>IF($O115="","",INDEX('Project Plan'!$J$2:$J$201,MATCH($O115,'Project Plan'!$V$2:$V$201,0)))</f>
        <v/>
      </c>
      <c r="H115" s="46" t="str">
        <f>IF($O115="","",INDEX('Project Plan'!$M$2:$M$201,MATCH($O115,'Project Plan'!$V$2:$V$201,0)))</f>
        <v/>
      </c>
      <c r="I115" s="45" t="str">
        <f>IF($O115="","",INDEX('Project Plan'!$N$2:$N$201,MATCH($O115,'Project Plan'!$V$2:$V$201,0)))</f>
        <v/>
      </c>
      <c r="J115" s="47" t="str">
        <f>IF($O115="","",INDEX('Project Plan'!$O$2:$O$201,MATCH($O115,'Project Plan'!$V$2:$V$201,0)))</f>
        <v/>
      </c>
      <c r="K115" s="46" t="str">
        <f>IF($O115="","",INDEX('Project Plan'!$R$2:$R$201,MATCH($O115,'Project Plan'!$V$2:$V$201,0)))</f>
        <v/>
      </c>
      <c r="L115" s="38" t="str">
        <f>IF($O115="","",INDEX('Project Plan'!$S$2:$S$201,MATCH($O115,'Project Plan'!$V$2:$V$201,0)))</f>
        <v/>
      </c>
      <c r="M115" s="38" t="str">
        <f>IF($O115="","",INDEX('Project Plan'!$T$2:$T$201,MATCH($O115,'Project Plan'!$V$2:$V$201,0)))</f>
        <v/>
      </c>
      <c r="N115" s="94" t="str">
        <f>IF($O115="","",INDEX('Project Plan'!$U$2:$U$201,MATCH($O115,'Project Plan'!$V$2:$V$201,0)))</f>
        <v/>
      </c>
      <c r="O115" s="45" t="str">
        <f>IF(ROW()-1&lt;=MAX('Project Plan'!$V$2:$V$201),ROW()-1,"")</f>
        <v/>
      </c>
    </row>
    <row r="116" spans="1:15" ht="13.9" customHeight="1" x14ac:dyDescent="0.25">
      <c r="A116" s="93" t="str">
        <f>IF($O116="","",INDEX('Project Plan'!$A$2:$A$201,MATCH($O116,'Project Plan'!$V$2:$V$201,0)))</f>
        <v/>
      </c>
      <c r="B116" s="45" t="str">
        <f>IF($O116="","",INDEX('Project Plan'!$B$2:$B$201,MATCH($O116,'Project Plan'!$V$2:$V$201,0)))</f>
        <v/>
      </c>
      <c r="C116" s="45" t="str">
        <f>IF($O116="","",INDEX('Project Plan'!$C$2:$C$201,MATCH($O116,'Project Plan'!$V$2:$V$201,0)))</f>
        <v/>
      </c>
      <c r="D116" s="45" t="str">
        <f>IF($O116="","",INDEX('Project Plan'!$D$2:$D$201,MATCH($O116,'Project Plan'!$V$2:$V$201,0)))</f>
        <v/>
      </c>
      <c r="E116" s="45" t="str">
        <f>IF($O116="","",INDEX('Project Plan'!$G$2:$G$201,MATCH($O116,'Project Plan'!$V$2:$V$201,0)))</f>
        <v/>
      </c>
      <c r="F116" s="46" t="str">
        <f>IF($O116="","",INDEX('Project Plan'!$I$2:$I$201,MATCH($O116,'Project Plan'!$V$2:$V$201,0)))</f>
        <v/>
      </c>
      <c r="G116" s="46" t="str">
        <f>IF($O116="","",INDEX('Project Plan'!$J$2:$J$201,MATCH($O116,'Project Plan'!$V$2:$V$201,0)))</f>
        <v/>
      </c>
      <c r="H116" s="46" t="str">
        <f>IF($O116="","",INDEX('Project Plan'!$M$2:$M$201,MATCH($O116,'Project Plan'!$V$2:$V$201,0)))</f>
        <v/>
      </c>
      <c r="I116" s="45" t="str">
        <f>IF($O116="","",INDEX('Project Plan'!$N$2:$N$201,MATCH($O116,'Project Plan'!$V$2:$V$201,0)))</f>
        <v/>
      </c>
      <c r="J116" s="47" t="str">
        <f>IF($O116="","",INDEX('Project Plan'!$O$2:$O$201,MATCH($O116,'Project Plan'!$V$2:$V$201,0)))</f>
        <v/>
      </c>
      <c r="K116" s="46" t="str">
        <f>IF($O116="","",INDEX('Project Plan'!$R$2:$R$201,MATCH($O116,'Project Plan'!$V$2:$V$201,0)))</f>
        <v/>
      </c>
      <c r="L116" s="38" t="str">
        <f>IF($O116="","",INDEX('Project Plan'!$S$2:$S$201,MATCH($O116,'Project Plan'!$V$2:$V$201,0)))</f>
        <v/>
      </c>
      <c r="M116" s="38" t="str">
        <f>IF($O116="","",INDEX('Project Plan'!$T$2:$T$201,MATCH($O116,'Project Plan'!$V$2:$V$201,0)))</f>
        <v/>
      </c>
      <c r="N116" s="94" t="str">
        <f>IF($O116="","",INDEX('Project Plan'!$U$2:$U$201,MATCH($O116,'Project Plan'!$V$2:$V$201,0)))</f>
        <v/>
      </c>
      <c r="O116" s="45" t="str">
        <f>IF(ROW()-1&lt;=MAX('Project Plan'!$V$2:$V$201),ROW()-1,"")</f>
        <v/>
      </c>
    </row>
    <row r="117" spans="1:15" ht="13.9" customHeight="1" x14ac:dyDescent="0.25">
      <c r="A117" s="93" t="str">
        <f>IF($O117="","",INDEX('Project Plan'!$A$2:$A$201,MATCH($O117,'Project Plan'!$V$2:$V$201,0)))</f>
        <v/>
      </c>
      <c r="B117" s="45" t="str">
        <f>IF($O117="","",INDEX('Project Plan'!$B$2:$B$201,MATCH($O117,'Project Plan'!$V$2:$V$201,0)))</f>
        <v/>
      </c>
      <c r="C117" s="45" t="str">
        <f>IF($O117="","",INDEX('Project Plan'!$C$2:$C$201,MATCH($O117,'Project Plan'!$V$2:$V$201,0)))</f>
        <v/>
      </c>
      <c r="D117" s="45" t="str">
        <f>IF($O117="","",INDEX('Project Plan'!$D$2:$D$201,MATCH($O117,'Project Plan'!$V$2:$V$201,0)))</f>
        <v/>
      </c>
      <c r="E117" s="45" t="str">
        <f>IF($O117="","",INDEX('Project Plan'!$G$2:$G$201,MATCH($O117,'Project Plan'!$V$2:$V$201,0)))</f>
        <v/>
      </c>
      <c r="F117" s="46" t="str">
        <f>IF($O117="","",INDEX('Project Plan'!$I$2:$I$201,MATCH($O117,'Project Plan'!$V$2:$V$201,0)))</f>
        <v/>
      </c>
      <c r="G117" s="46" t="str">
        <f>IF($O117="","",INDEX('Project Plan'!$J$2:$J$201,MATCH($O117,'Project Plan'!$V$2:$V$201,0)))</f>
        <v/>
      </c>
      <c r="H117" s="46" t="str">
        <f>IF($O117="","",INDEX('Project Plan'!$M$2:$M$201,MATCH($O117,'Project Plan'!$V$2:$V$201,0)))</f>
        <v/>
      </c>
      <c r="I117" s="45" t="str">
        <f>IF($O117="","",INDEX('Project Plan'!$N$2:$N$201,MATCH($O117,'Project Plan'!$V$2:$V$201,0)))</f>
        <v/>
      </c>
      <c r="J117" s="47" t="str">
        <f>IF($O117="","",INDEX('Project Plan'!$O$2:$O$201,MATCH($O117,'Project Plan'!$V$2:$V$201,0)))</f>
        <v/>
      </c>
      <c r="K117" s="46" t="str">
        <f>IF($O117="","",INDEX('Project Plan'!$R$2:$R$201,MATCH($O117,'Project Plan'!$V$2:$V$201,0)))</f>
        <v/>
      </c>
      <c r="L117" s="38" t="str">
        <f>IF($O117="","",INDEX('Project Plan'!$S$2:$S$201,MATCH($O117,'Project Plan'!$V$2:$V$201,0)))</f>
        <v/>
      </c>
      <c r="M117" s="38" t="str">
        <f>IF($O117="","",INDEX('Project Plan'!$T$2:$T$201,MATCH($O117,'Project Plan'!$V$2:$V$201,0)))</f>
        <v/>
      </c>
      <c r="N117" s="94" t="str">
        <f>IF($O117="","",INDEX('Project Plan'!$U$2:$U$201,MATCH($O117,'Project Plan'!$V$2:$V$201,0)))</f>
        <v/>
      </c>
      <c r="O117" s="45" t="str">
        <f>IF(ROW()-1&lt;=MAX('Project Plan'!$V$2:$V$201),ROW()-1,"")</f>
        <v/>
      </c>
    </row>
    <row r="118" spans="1:15" ht="13.9" customHeight="1" x14ac:dyDescent="0.25">
      <c r="A118" s="93" t="str">
        <f>IF($O118="","",INDEX('Project Plan'!$A$2:$A$201,MATCH($O118,'Project Plan'!$V$2:$V$201,0)))</f>
        <v/>
      </c>
      <c r="B118" s="45" t="str">
        <f>IF($O118="","",INDEX('Project Plan'!$B$2:$B$201,MATCH($O118,'Project Plan'!$V$2:$V$201,0)))</f>
        <v/>
      </c>
      <c r="C118" s="45" t="str">
        <f>IF($O118="","",INDEX('Project Plan'!$C$2:$C$201,MATCH($O118,'Project Plan'!$V$2:$V$201,0)))</f>
        <v/>
      </c>
      <c r="D118" s="45" t="str">
        <f>IF($O118="","",INDEX('Project Plan'!$D$2:$D$201,MATCH($O118,'Project Plan'!$V$2:$V$201,0)))</f>
        <v/>
      </c>
      <c r="E118" s="45" t="str">
        <f>IF($O118="","",INDEX('Project Plan'!$G$2:$G$201,MATCH($O118,'Project Plan'!$V$2:$V$201,0)))</f>
        <v/>
      </c>
      <c r="F118" s="46" t="str">
        <f>IF($O118="","",INDEX('Project Plan'!$I$2:$I$201,MATCH($O118,'Project Plan'!$V$2:$V$201,0)))</f>
        <v/>
      </c>
      <c r="G118" s="46" t="str">
        <f>IF($O118="","",INDEX('Project Plan'!$J$2:$J$201,MATCH($O118,'Project Plan'!$V$2:$V$201,0)))</f>
        <v/>
      </c>
      <c r="H118" s="46" t="str">
        <f>IF($O118="","",INDEX('Project Plan'!$M$2:$M$201,MATCH($O118,'Project Plan'!$V$2:$V$201,0)))</f>
        <v/>
      </c>
      <c r="I118" s="45" t="str">
        <f>IF($O118="","",INDEX('Project Plan'!$N$2:$N$201,MATCH($O118,'Project Plan'!$V$2:$V$201,0)))</f>
        <v/>
      </c>
      <c r="J118" s="47" t="str">
        <f>IF($O118="","",INDEX('Project Plan'!$O$2:$O$201,MATCH($O118,'Project Plan'!$V$2:$V$201,0)))</f>
        <v/>
      </c>
      <c r="K118" s="46" t="str">
        <f>IF($O118="","",INDEX('Project Plan'!$R$2:$R$201,MATCH($O118,'Project Plan'!$V$2:$V$201,0)))</f>
        <v/>
      </c>
      <c r="L118" s="38" t="str">
        <f>IF($O118="","",INDEX('Project Plan'!$S$2:$S$201,MATCH($O118,'Project Plan'!$V$2:$V$201,0)))</f>
        <v/>
      </c>
      <c r="M118" s="38" t="str">
        <f>IF($O118="","",INDEX('Project Plan'!$T$2:$T$201,MATCH($O118,'Project Plan'!$V$2:$V$201,0)))</f>
        <v/>
      </c>
      <c r="N118" s="94" t="str">
        <f>IF($O118="","",INDEX('Project Plan'!$U$2:$U$201,MATCH($O118,'Project Plan'!$V$2:$V$201,0)))</f>
        <v/>
      </c>
      <c r="O118" s="45" t="str">
        <f>IF(ROW()-1&lt;=MAX('Project Plan'!$V$2:$V$201),ROW()-1,"")</f>
        <v/>
      </c>
    </row>
    <row r="119" spans="1:15" ht="13.9" customHeight="1" x14ac:dyDescent="0.25">
      <c r="A119" s="93" t="str">
        <f>IF($O119="","",INDEX('Project Plan'!$A$2:$A$201,MATCH($O119,'Project Plan'!$V$2:$V$201,0)))</f>
        <v/>
      </c>
      <c r="B119" s="45" t="str">
        <f>IF($O119="","",INDEX('Project Plan'!$B$2:$B$201,MATCH($O119,'Project Plan'!$V$2:$V$201,0)))</f>
        <v/>
      </c>
      <c r="C119" s="45" t="str">
        <f>IF($O119="","",INDEX('Project Plan'!$C$2:$C$201,MATCH($O119,'Project Plan'!$V$2:$V$201,0)))</f>
        <v/>
      </c>
      <c r="D119" s="45" t="str">
        <f>IF($O119="","",INDEX('Project Plan'!$D$2:$D$201,MATCH($O119,'Project Plan'!$V$2:$V$201,0)))</f>
        <v/>
      </c>
      <c r="E119" s="45" t="str">
        <f>IF($O119="","",INDEX('Project Plan'!$G$2:$G$201,MATCH($O119,'Project Plan'!$V$2:$V$201,0)))</f>
        <v/>
      </c>
      <c r="F119" s="46" t="str">
        <f>IF($O119="","",INDEX('Project Plan'!$I$2:$I$201,MATCH($O119,'Project Plan'!$V$2:$V$201,0)))</f>
        <v/>
      </c>
      <c r="G119" s="46" t="str">
        <f>IF($O119="","",INDEX('Project Plan'!$J$2:$J$201,MATCH($O119,'Project Plan'!$V$2:$V$201,0)))</f>
        <v/>
      </c>
      <c r="H119" s="46" t="str">
        <f>IF($O119="","",INDEX('Project Plan'!$M$2:$M$201,MATCH($O119,'Project Plan'!$V$2:$V$201,0)))</f>
        <v/>
      </c>
      <c r="I119" s="45" t="str">
        <f>IF($O119="","",INDEX('Project Plan'!$N$2:$N$201,MATCH($O119,'Project Plan'!$V$2:$V$201,0)))</f>
        <v/>
      </c>
      <c r="J119" s="47" t="str">
        <f>IF($O119="","",INDEX('Project Plan'!$O$2:$O$201,MATCH($O119,'Project Plan'!$V$2:$V$201,0)))</f>
        <v/>
      </c>
      <c r="K119" s="46" t="str">
        <f>IF($O119="","",INDEX('Project Plan'!$R$2:$R$201,MATCH($O119,'Project Plan'!$V$2:$V$201,0)))</f>
        <v/>
      </c>
      <c r="L119" s="38" t="str">
        <f>IF($O119="","",INDEX('Project Plan'!$S$2:$S$201,MATCH($O119,'Project Plan'!$V$2:$V$201,0)))</f>
        <v/>
      </c>
      <c r="M119" s="38" t="str">
        <f>IF($O119="","",INDEX('Project Plan'!$T$2:$T$201,MATCH($O119,'Project Plan'!$V$2:$V$201,0)))</f>
        <v/>
      </c>
      <c r="N119" s="94" t="str">
        <f>IF($O119="","",INDEX('Project Plan'!$U$2:$U$201,MATCH($O119,'Project Plan'!$V$2:$V$201,0)))</f>
        <v/>
      </c>
      <c r="O119" s="45" t="str">
        <f>IF(ROW()-1&lt;=MAX('Project Plan'!$V$2:$V$201),ROW()-1,"")</f>
        <v/>
      </c>
    </row>
    <row r="120" spans="1:15" ht="13.9" customHeight="1" x14ac:dyDescent="0.25">
      <c r="A120" s="93" t="str">
        <f>IF($O120="","",INDEX('Project Plan'!$A$2:$A$201,MATCH($O120,'Project Plan'!$V$2:$V$201,0)))</f>
        <v/>
      </c>
      <c r="B120" s="45" t="str">
        <f>IF($O120="","",INDEX('Project Plan'!$B$2:$B$201,MATCH($O120,'Project Plan'!$V$2:$V$201,0)))</f>
        <v/>
      </c>
      <c r="C120" s="45" t="str">
        <f>IF($O120="","",INDEX('Project Plan'!$C$2:$C$201,MATCH($O120,'Project Plan'!$V$2:$V$201,0)))</f>
        <v/>
      </c>
      <c r="D120" s="45" t="str">
        <f>IF($O120="","",INDEX('Project Plan'!$D$2:$D$201,MATCH($O120,'Project Plan'!$V$2:$V$201,0)))</f>
        <v/>
      </c>
      <c r="E120" s="45" t="str">
        <f>IF($O120="","",INDEX('Project Plan'!$G$2:$G$201,MATCH($O120,'Project Plan'!$V$2:$V$201,0)))</f>
        <v/>
      </c>
      <c r="F120" s="46" t="str">
        <f>IF($O120="","",INDEX('Project Plan'!$I$2:$I$201,MATCH($O120,'Project Plan'!$V$2:$V$201,0)))</f>
        <v/>
      </c>
      <c r="G120" s="46" t="str">
        <f>IF($O120="","",INDEX('Project Plan'!$J$2:$J$201,MATCH($O120,'Project Plan'!$V$2:$V$201,0)))</f>
        <v/>
      </c>
      <c r="H120" s="46" t="str">
        <f>IF($O120="","",INDEX('Project Plan'!$M$2:$M$201,MATCH($O120,'Project Plan'!$V$2:$V$201,0)))</f>
        <v/>
      </c>
      <c r="I120" s="45" t="str">
        <f>IF($O120="","",INDEX('Project Plan'!$N$2:$N$201,MATCH($O120,'Project Plan'!$V$2:$V$201,0)))</f>
        <v/>
      </c>
      <c r="J120" s="47" t="str">
        <f>IF($O120="","",INDEX('Project Plan'!$O$2:$O$201,MATCH($O120,'Project Plan'!$V$2:$V$201,0)))</f>
        <v/>
      </c>
      <c r="K120" s="46" t="str">
        <f>IF($O120="","",INDEX('Project Plan'!$R$2:$R$201,MATCH($O120,'Project Plan'!$V$2:$V$201,0)))</f>
        <v/>
      </c>
      <c r="L120" s="38" t="str">
        <f>IF($O120="","",INDEX('Project Plan'!$S$2:$S$201,MATCH($O120,'Project Plan'!$V$2:$V$201,0)))</f>
        <v/>
      </c>
      <c r="M120" s="38" t="str">
        <f>IF($O120="","",INDEX('Project Plan'!$T$2:$T$201,MATCH($O120,'Project Plan'!$V$2:$V$201,0)))</f>
        <v/>
      </c>
      <c r="N120" s="94" t="str">
        <f>IF($O120="","",INDEX('Project Plan'!$U$2:$U$201,MATCH($O120,'Project Plan'!$V$2:$V$201,0)))</f>
        <v/>
      </c>
      <c r="O120" s="45" t="str">
        <f>IF(ROW()-1&lt;=MAX('Project Plan'!$V$2:$V$201),ROW()-1,"")</f>
        <v/>
      </c>
    </row>
    <row r="121" spans="1:15" ht="13.9" customHeight="1" x14ac:dyDescent="0.25">
      <c r="A121" s="93" t="str">
        <f>IF($O121="","",INDEX('Project Plan'!$A$2:$A$201,MATCH($O121,'Project Plan'!$V$2:$V$201,0)))</f>
        <v/>
      </c>
      <c r="B121" s="45" t="str">
        <f>IF($O121="","",INDEX('Project Plan'!$B$2:$B$201,MATCH($O121,'Project Plan'!$V$2:$V$201,0)))</f>
        <v/>
      </c>
      <c r="C121" s="45" t="str">
        <f>IF($O121="","",INDEX('Project Plan'!$C$2:$C$201,MATCH($O121,'Project Plan'!$V$2:$V$201,0)))</f>
        <v/>
      </c>
      <c r="D121" s="45" t="str">
        <f>IF($O121="","",INDEX('Project Plan'!$D$2:$D$201,MATCH($O121,'Project Plan'!$V$2:$V$201,0)))</f>
        <v/>
      </c>
      <c r="E121" s="45" t="str">
        <f>IF($O121="","",INDEX('Project Plan'!$G$2:$G$201,MATCH($O121,'Project Plan'!$V$2:$V$201,0)))</f>
        <v/>
      </c>
      <c r="F121" s="46" t="str">
        <f>IF($O121="","",INDEX('Project Plan'!$I$2:$I$201,MATCH($O121,'Project Plan'!$V$2:$V$201,0)))</f>
        <v/>
      </c>
      <c r="G121" s="46" t="str">
        <f>IF($O121="","",INDEX('Project Plan'!$J$2:$J$201,MATCH($O121,'Project Plan'!$V$2:$V$201,0)))</f>
        <v/>
      </c>
      <c r="H121" s="46" t="str">
        <f>IF($O121="","",INDEX('Project Plan'!$M$2:$M$201,MATCH($O121,'Project Plan'!$V$2:$V$201,0)))</f>
        <v/>
      </c>
      <c r="I121" s="45" t="str">
        <f>IF($O121="","",INDEX('Project Plan'!$N$2:$N$201,MATCH($O121,'Project Plan'!$V$2:$V$201,0)))</f>
        <v/>
      </c>
      <c r="J121" s="47" t="str">
        <f>IF($O121="","",INDEX('Project Plan'!$O$2:$O$201,MATCH($O121,'Project Plan'!$V$2:$V$201,0)))</f>
        <v/>
      </c>
      <c r="K121" s="46" t="str">
        <f>IF($O121="","",INDEX('Project Plan'!$R$2:$R$201,MATCH($O121,'Project Plan'!$V$2:$V$201,0)))</f>
        <v/>
      </c>
      <c r="L121" s="38" t="str">
        <f>IF($O121="","",INDEX('Project Plan'!$S$2:$S$201,MATCH($O121,'Project Plan'!$V$2:$V$201,0)))</f>
        <v/>
      </c>
      <c r="M121" s="38" t="str">
        <f>IF($O121="","",INDEX('Project Plan'!$T$2:$T$201,MATCH($O121,'Project Plan'!$V$2:$V$201,0)))</f>
        <v/>
      </c>
      <c r="N121" s="94" t="str">
        <f>IF($O121="","",INDEX('Project Plan'!$U$2:$U$201,MATCH($O121,'Project Plan'!$V$2:$V$201,0)))</f>
        <v/>
      </c>
      <c r="O121" s="45" t="str">
        <f>IF(ROW()-1&lt;=MAX('Project Plan'!$V$2:$V$201),ROW()-1,"")</f>
        <v/>
      </c>
    </row>
    <row r="122" spans="1:15" ht="13.9" customHeight="1" x14ac:dyDescent="0.25">
      <c r="A122" s="93" t="str">
        <f>IF($O122="","",INDEX('Project Plan'!$A$2:$A$201,MATCH($O122,'Project Plan'!$V$2:$V$201,0)))</f>
        <v/>
      </c>
      <c r="B122" s="45" t="str">
        <f>IF($O122="","",INDEX('Project Plan'!$B$2:$B$201,MATCH($O122,'Project Plan'!$V$2:$V$201,0)))</f>
        <v/>
      </c>
      <c r="C122" s="45" t="str">
        <f>IF($O122="","",INDEX('Project Plan'!$C$2:$C$201,MATCH($O122,'Project Plan'!$V$2:$V$201,0)))</f>
        <v/>
      </c>
      <c r="D122" s="45" t="str">
        <f>IF($O122="","",INDEX('Project Plan'!$D$2:$D$201,MATCH($O122,'Project Plan'!$V$2:$V$201,0)))</f>
        <v/>
      </c>
      <c r="E122" s="45" t="str">
        <f>IF($O122="","",INDEX('Project Plan'!$G$2:$G$201,MATCH($O122,'Project Plan'!$V$2:$V$201,0)))</f>
        <v/>
      </c>
      <c r="F122" s="46" t="str">
        <f>IF($O122="","",INDEX('Project Plan'!$I$2:$I$201,MATCH($O122,'Project Plan'!$V$2:$V$201,0)))</f>
        <v/>
      </c>
      <c r="G122" s="46" t="str">
        <f>IF($O122="","",INDEX('Project Plan'!$J$2:$J$201,MATCH($O122,'Project Plan'!$V$2:$V$201,0)))</f>
        <v/>
      </c>
      <c r="H122" s="46" t="str">
        <f>IF($O122="","",INDEX('Project Plan'!$M$2:$M$201,MATCH($O122,'Project Plan'!$V$2:$V$201,0)))</f>
        <v/>
      </c>
      <c r="I122" s="45" t="str">
        <f>IF($O122="","",INDEX('Project Plan'!$N$2:$N$201,MATCH($O122,'Project Plan'!$V$2:$V$201,0)))</f>
        <v/>
      </c>
      <c r="J122" s="47" t="str">
        <f>IF($O122="","",INDEX('Project Plan'!$O$2:$O$201,MATCH($O122,'Project Plan'!$V$2:$V$201,0)))</f>
        <v/>
      </c>
      <c r="K122" s="46" t="str">
        <f>IF($O122="","",INDEX('Project Plan'!$R$2:$R$201,MATCH($O122,'Project Plan'!$V$2:$V$201,0)))</f>
        <v/>
      </c>
      <c r="L122" s="38" t="str">
        <f>IF($O122="","",INDEX('Project Plan'!$S$2:$S$201,MATCH($O122,'Project Plan'!$V$2:$V$201,0)))</f>
        <v/>
      </c>
      <c r="M122" s="38" t="str">
        <f>IF($O122="","",INDEX('Project Plan'!$T$2:$T$201,MATCH($O122,'Project Plan'!$V$2:$V$201,0)))</f>
        <v/>
      </c>
      <c r="N122" s="94" t="str">
        <f>IF($O122="","",INDEX('Project Plan'!$U$2:$U$201,MATCH($O122,'Project Plan'!$V$2:$V$201,0)))</f>
        <v/>
      </c>
      <c r="O122" s="45" t="str">
        <f>IF(ROW()-1&lt;=MAX('Project Plan'!$V$2:$V$201),ROW()-1,"")</f>
        <v/>
      </c>
    </row>
    <row r="123" spans="1:15" ht="13.9" customHeight="1" x14ac:dyDescent="0.25">
      <c r="A123" s="93" t="str">
        <f>IF($O123="","",INDEX('Project Plan'!$A$2:$A$201,MATCH($O123,'Project Plan'!$V$2:$V$201,0)))</f>
        <v/>
      </c>
      <c r="B123" s="45" t="str">
        <f>IF($O123="","",INDEX('Project Plan'!$B$2:$B$201,MATCH($O123,'Project Plan'!$V$2:$V$201,0)))</f>
        <v/>
      </c>
      <c r="C123" s="45" t="str">
        <f>IF($O123="","",INDEX('Project Plan'!$C$2:$C$201,MATCH($O123,'Project Plan'!$V$2:$V$201,0)))</f>
        <v/>
      </c>
      <c r="D123" s="45" t="str">
        <f>IF($O123="","",INDEX('Project Plan'!$D$2:$D$201,MATCH($O123,'Project Plan'!$V$2:$V$201,0)))</f>
        <v/>
      </c>
      <c r="E123" s="45" t="str">
        <f>IF($O123="","",INDEX('Project Plan'!$G$2:$G$201,MATCH($O123,'Project Plan'!$V$2:$V$201,0)))</f>
        <v/>
      </c>
      <c r="F123" s="46" t="str">
        <f>IF($O123="","",INDEX('Project Plan'!$I$2:$I$201,MATCH($O123,'Project Plan'!$V$2:$V$201,0)))</f>
        <v/>
      </c>
      <c r="G123" s="46" t="str">
        <f>IF($O123="","",INDEX('Project Plan'!$J$2:$J$201,MATCH($O123,'Project Plan'!$V$2:$V$201,0)))</f>
        <v/>
      </c>
      <c r="H123" s="46" t="str">
        <f>IF($O123="","",INDEX('Project Plan'!$M$2:$M$201,MATCH($O123,'Project Plan'!$V$2:$V$201,0)))</f>
        <v/>
      </c>
      <c r="I123" s="45" t="str">
        <f>IF($O123="","",INDEX('Project Plan'!$N$2:$N$201,MATCH($O123,'Project Plan'!$V$2:$V$201,0)))</f>
        <v/>
      </c>
      <c r="J123" s="47" t="str">
        <f>IF($O123="","",INDEX('Project Plan'!$O$2:$O$201,MATCH($O123,'Project Plan'!$V$2:$V$201,0)))</f>
        <v/>
      </c>
      <c r="K123" s="46" t="str">
        <f>IF($O123="","",INDEX('Project Plan'!$R$2:$R$201,MATCH($O123,'Project Plan'!$V$2:$V$201,0)))</f>
        <v/>
      </c>
      <c r="L123" s="38" t="str">
        <f>IF($O123="","",INDEX('Project Plan'!$S$2:$S$201,MATCH($O123,'Project Plan'!$V$2:$V$201,0)))</f>
        <v/>
      </c>
      <c r="M123" s="38" t="str">
        <f>IF($O123="","",INDEX('Project Plan'!$T$2:$T$201,MATCH($O123,'Project Plan'!$V$2:$V$201,0)))</f>
        <v/>
      </c>
      <c r="N123" s="94" t="str">
        <f>IF($O123="","",INDEX('Project Plan'!$U$2:$U$201,MATCH($O123,'Project Plan'!$V$2:$V$201,0)))</f>
        <v/>
      </c>
      <c r="O123" s="45" t="str">
        <f>IF(ROW()-1&lt;=MAX('Project Plan'!$V$2:$V$201),ROW()-1,"")</f>
        <v/>
      </c>
    </row>
    <row r="124" spans="1:15" ht="13.9" customHeight="1" x14ac:dyDescent="0.25">
      <c r="A124" s="93" t="str">
        <f>IF($O124="","",INDEX('Project Plan'!$A$2:$A$201,MATCH($O124,'Project Plan'!$V$2:$V$201,0)))</f>
        <v/>
      </c>
      <c r="B124" s="45" t="str">
        <f>IF($O124="","",INDEX('Project Plan'!$B$2:$B$201,MATCH($O124,'Project Plan'!$V$2:$V$201,0)))</f>
        <v/>
      </c>
      <c r="C124" s="45" t="str">
        <f>IF($O124="","",INDEX('Project Plan'!$C$2:$C$201,MATCH($O124,'Project Plan'!$V$2:$V$201,0)))</f>
        <v/>
      </c>
      <c r="D124" s="45" t="str">
        <f>IF($O124="","",INDEX('Project Plan'!$D$2:$D$201,MATCH($O124,'Project Plan'!$V$2:$V$201,0)))</f>
        <v/>
      </c>
      <c r="E124" s="45" t="str">
        <f>IF($O124="","",INDEX('Project Plan'!$G$2:$G$201,MATCH($O124,'Project Plan'!$V$2:$V$201,0)))</f>
        <v/>
      </c>
      <c r="F124" s="46" t="str">
        <f>IF($O124="","",INDEX('Project Plan'!$I$2:$I$201,MATCH($O124,'Project Plan'!$V$2:$V$201,0)))</f>
        <v/>
      </c>
      <c r="G124" s="46" t="str">
        <f>IF($O124="","",INDEX('Project Plan'!$J$2:$J$201,MATCH($O124,'Project Plan'!$V$2:$V$201,0)))</f>
        <v/>
      </c>
      <c r="H124" s="46" t="str">
        <f>IF($O124="","",INDEX('Project Plan'!$M$2:$M$201,MATCH($O124,'Project Plan'!$V$2:$V$201,0)))</f>
        <v/>
      </c>
      <c r="I124" s="45" t="str">
        <f>IF($O124="","",INDEX('Project Plan'!$N$2:$N$201,MATCH($O124,'Project Plan'!$V$2:$V$201,0)))</f>
        <v/>
      </c>
      <c r="J124" s="47" t="str">
        <f>IF($O124="","",INDEX('Project Plan'!$O$2:$O$201,MATCH($O124,'Project Plan'!$V$2:$V$201,0)))</f>
        <v/>
      </c>
      <c r="K124" s="46" t="str">
        <f>IF($O124="","",INDEX('Project Plan'!$R$2:$R$201,MATCH($O124,'Project Plan'!$V$2:$V$201,0)))</f>
        <v/>
      </c>
      <c r="L124" s="38" t="str">
        <f>IF($O124="","",INDEX('Project Plan'!$S$2:$S$201,MATCH($O124,'Project Plan'!$V$2:$V$201,0)))</f>
        <v/>
      </c>
      <c r="M124" s="38" t="str">
        <f>IF($O124="","",INDEX('Project Plan'!$T$2:$T$201,MATCH($O124,'Project Plan'!$V$2:$V$201,0)))</f>
        <v/>
      </c>
      <c r="N124" s="94" t="str">
        <f>IF($O124="","",INDEX('Project Plan'!$U$2:$U$201,MATCH($O124,'Project Plan'!$V$2:$V$201,0)))</f>
        <v/>
      </c>
      <c r="O124" s="45" t="str">
        <f>IF(ROW()-1&lt;=MAX('Project Plan'!$V$2:$V$201),ROW()-1,"")</f>
        <v/>
      </c>
    </row>
    <row r="125" spans="1:15" ht="13.9" customHeight="1" x14ac:dyDescent="0.25">
      <c r="A125" s="93" t="str">
        <f>IF($O125="","",INDEX('Project Plan'!$A$2:$A$201,MATCH($O125,'Project Plan'!$V$2:$V$201,0)))</f>
        <v/>
      </c>
      <c r="B125" s="45" t="str">
        <f>IF($O125="","",INDEX('Project Plan'!$B$2:$B$201,MATCH($O125,'Project Plan'!$V$2:$V$201,0)))</f>
        <v/>
      </c>
      <c r="C125" s="45" t="str">
        <f>IF($O125="","",INDEX('Project Plan'!$C$2:$C$201,MATCH($O125,'Project Plan'!$V$2:$V$201,0)))</f>
        <v/>
      </c>
      <c r="D125" s="45" t="str">
        <f>IF($O125="","",INDEX('Project Plan'!$D$2:$D$201,MATCH($O125,'Project Plan'!$V$2:$V$201,0)))</f>
        <v/>
      </c>
      <c r="E125" s="45" t="str">
        <f>IF($O125="","",INDEX('Project Plan'!$G$2:$G$201,MATCH($O125,'Project Plan'!$V$2:$V$201,0)))</f>
        <v/>
      </c>
      <c r="F125" s="46" t="str">
        <f>IF($O125="","",INDEX('Project Plan'!$I$2:$I$201,MATCH($O125,'Project Plan'!$V$2:$V$201,0)))</f>
        <v/>
      </c>
      <c r="G125" s="46" t="str">
        <f>IF($O125="","",INDEX('Project Plan'!$J$2:$J$201,MATCH($O125,'Project Plan'!$V$2:$V$201,0)))</f>
        <v/>
      </c>
      <c r="H125" s="46" t="str">
        <f>IF($O125="","",INDEX('Project Plan'!$M$2:$M$201,MATCH($O125,'Project Plan'!$V$2:$V$201,0)))</f>
        <v/>
      </c>
      <c r="I125" s="45" t="str">
        <f>IF($O125="","",INDEX('Project Plan'!$N$2:$N$201,MATCH($O125,'Project Plan'!$V$2:$V$201,0)))</f>
        <v/>
      </c>
      <c r="J125" s="47" t="str">
        <f>IF($O125="","",INDEX('Project Plan'!$O$2:$O$201,MATCH($O125,'Project Plan'!$V$2:$V$201,0)))</f>
        <v/>
      </c>
      <c r="K125" s="46" t="str">
        <f>IF($O125="","",INDEX('Project Plan'!$R$2:$R$201,MATCH($O125,'Project Plan'!$V$2:$V$201,0)))</f>
        <v/>
      </c>
      <c r="L125" s="38" t="str">
        <f>IF($O125="","",INDEX('Project Plan'!$S$2:$S$201,MATCH($O125,'Project Plan'!$V$2:$V$201,0)))</f>
        <v/>
      </c>
      <c r="M125" s="38" t="str">
        <f>IF($O125="","",INDEX('Project Plan'!$T$2:$T$201,MATCH($O125,'Project Plan'!$V$2:$V$201,0)))</f>
        <v/>
      </c>
      <c r="N125" s="94" t="str">
        <f>IF($O125="","",INDEX('Project Plan'!$U$2:$U$201,MATCH($O125,'Project Plan'!$V$2:$V$201,0)))</f>
        <v/>
      </c>
      <c r="O125" s="45" t="str">
        <f>IF(ROW()-1&lt;=MAX('Project Plan'!$V$2:$V$201),ROW()-1,"")</f>
        <v/>
      </c>
    </row>
    <row r="126" spans="1:15" ht="13.9" customHeight="1" x14ac:dyDescent="0.25">
      <c r="A126" s="93" t="str">
        <f>IF($O126="","",INDEX('Project Plan'!$A$2:$A$201,MATCH($O126,'Project Plan'!$V$2:$V$201,0)))</f>
        <v/>
      </c>
      <c r="B126" s="45" t="str">
        <f>IF($O126="","",INDEX('Project Plan'!$B$2:$B$201,MATCH($O126,'Project Plan'!$V$2:$V$201,0)))</f>
        <v/>
      </c>
      <c r="C126" s="45" t="str">
        <f>IF($O126="","",INDEX('Project Plan'!$C$2:$C$201,MATCH($O126,'Project Plan'!$V$2:$V$201,0)))</f>
        <v/>
      </c>
      <c r="D126" s="45" t="str">
        <f>IF($O126="","",INDEX('Project Plan'!$D$2:$D$201,MATCH($O126,'Project Plan'!$V$2:$V$201,0)))</f>
        <v/>
      </c>
      <c r="E126" s="45" t="str">
        <f>IF($O126="","",INDEX('Project Plan'!$G$2:$G$201,MATCH($O126,'Project Plan'!$V$2:$V$201,0)))</f>
        <v/>
      </c>
      <c r="F126" s="46" t="str">
        <f>IF($O126="","",INDEX('Project Plan'!$I$2:$I$201,MATCH($O126,'Project Plan'!$V$2:$V$201,0)))</f>
        <v/>
      </c>
      <c r="G126" s="46" t="str">
        <f>IF($O126="","",INDEX('Project Plan'!$J$2:$J$201,MATCH($O126,'Project Plan'!$V$2:$V$201,0)))</f>
        <v/>
      </c>
      <c r="H126" s="46" t="str">
        <f>IF($O126="","",INDEX('Project Plan'!$M$2:$M$201,MATCH($O126,'Project Plan'!$V$2:$V$201,0)))</f>
        <v/>
      </c>
      <c r="I126" s="45" t="str">
        <f>IF($O126="","",INDEX('Project Plan'!$N$2:$N$201,MATCH($O126,'Project Plan'!$V$2:$V$201,0)))</f>
        <v/>
      </c>
      <c r="J126" s="47" t="str">
        <f>IF($O126="","",INDEX('Project Plan'!$O$2:$O$201,MATCH($O126,'Project Plan'!$V$2:$V$201,0)))</f>
        <v/>
      </c>
      <c r="K126" s="46" t="str">
        <f>IF($O126="","",INDEX('Project Plan'!$R$2:$R$201,MATCH($O126,'Project Plan'!$V$2:$V$201,0)))</f>
        <v/>
      </c>
      <c r="L126" s="38" t="str">
        <f>IF($O126="","",INDEX('Project Plan'!$S$2:$S$201,MATCH($O126,'Project Plan'!$V$2:$V$201,0)))</f>
        <v/>
      </c>
      <c r="M126" s="38" t="str">
        <f>IF($O126="","",INDEX('Project Plan'!$T$2:$T$201,MATCH($O126,'Project Plan'!$V$2:$V$201,0)))</f>
        <v/>
      </c>
      <c r="N126" s="94" t="str">
        <f>IF($O126="","",INDEX('Project Plan'!$U$2:$U$201,MATCH($O126,'Project Plan'!$V$2:$V$201,0)))</f>
        <v/>
      </c>
      <c r="O126" s="45" t="str">
        <f>IF(ROW()-1&lt;=MAX('Project Plan'!$V$2:$V$201),ROW()-1,"")</f>
        <v/>
      </c>
    </row>
    <row r="127" spans="1:15" ht="13.9" customHeight="1" x14ac:dyDescent="0.25">
      <c r="A127" s="93" t="str">
        <f>IF($O127="","",INDEX('Project Plan'!$A$2:$A$201,MATCH($O127,'Project Plan'!$V$2:$V$201,0)))</f>
        <v/>
      </c>
      <c r="B127" s="45" t="str">
        <f>IF($O127="","",INDEX('Project Plan'!$B$2:$B$201,MATCH($O127,'Project Plan'!$V$2:$V$201,0)))</f>
        <v/>
      </c>
      <c r="C127" s="45" t="str">
        <f>IF($O127="","",INDEX('Project Plan'!$C$2:$C$201,MATCH($O127,'Project Plan'!$V$2:$V$201,0)))</f>
        <v/>
      </c>
      <c r="D127" s="45" t="str">
        <f>IF($O127="","",INDEX('Project Plan'!$D$2:$D$201,MATCH($O127,'Project Plan'!$V$2:$V$201,0)))</f>
        <v/>
      </c>
      <c r="E127" s="45" t="str">
        <f>IF($O127="","",INDEX('Project Plan'!$G$2:$G$201,MATCH($O127,'Project Plan'!$V$2:$V$201,0)))</f>
        <v/>
      </c>
      <c r="F127" s="46" t="str">
        <f>IF($O127="","",INDEX('Project Plan'!$I$2:$I$201,MATCH($O127,'Project Plan'!$V$2:$V$201,0)))</f>
        <v/>
      </c>
      <c r="G127" s="46" t="str">
        <f>IF($O127="","",INDEX('Project Plan'!$J$2:$J$201,MATCH($O127,'Project Plan'!$V$2:$V$201,0)))</f>
        <v/>
      </c>
      <c r="H127" s="46" t="str">
        <f>IF($O127="","",INDEX('Project Plan'!$M$2:$M$201,MATCH($O127,'Project Plan'!$V$2:$V$201,0)))</f>
        <v/>
      </c>
      <c r="I127" s="45" t="str">
        <f>IF($O127="","",INDEX('Project Plan'!$N$2:$N$201,MATCH($O127,'Project Plan'!$V$2:$V$201,0)))</f>
        <v/>
      </c>
      <c r="J127" s="47" t="str">
        <f>IF($O127="","",INDEX('Project Plan'!$O$2:$O$201,MATCH($O127,'Project Plan'!$V$2:$V$201,0)))</f>
        <v/>
      </c>
      <c r="K127" s="46" t="str">
        <f>IF($O127="","",INDEX('Project Plan'!$R$2:$R$201,MATCH($O127,'Project Plan'!$V$2:$V$201,0)))</f>
        <v/>
      </c>
      <c r="L127" s="38" t="str">
        <f>IF($O127="","",INDEX('Project Plan'!$S$2:$S$201,MATCH($O127,'Project Plan'!$V$2:$V$201,0)))</f>
        <v/>
      </c>
      <c r="M127" s="38" t="str">
        <f>IF($O127="","",INDEX('Project Plan'!$T$2:$T$201,MATCH($O127,'Project Plan'!$V$2:$V$201,0)))</f>
        <v/>
      </c>
      <c r="N127" s="94" t="str">
        <f>IF($O127="","",INDEX('Project Plan'!$U$2:$U$201,MATCH($O127,'Project Plan'!$V$2:$V$201,0)))</f>
        <v/>
      </c>
      <c r="O127" s="45" t="str">
        <f>IF(ROW()-1&lt;=MAX('Project Plan'!$V$2:$V$201),ROW()-1,"")</f>
        <v/>
      </c>
    </row>
    <row r="128" spans="1:15" ht="13.9" customHeight="1" x14ac:dyDescent="0.25">
      <c r="A128" s="93" t="str">
        <f>IF($O128="","",INDEX('Project Plan'!$A$2:$A$201,MATCH($O128,'Project Plan'!$V$2:$V$201,0)))</f>
        <v/>
      </c>
      <c r="B128" s="45" t="str">
        <f>IF($O128="","",INDEX('Project Plan'!$B$2:$B$201,MATCH($O128,'Project Plan'!$V$2:$V$201,0)))</f>
        <v/>
      </c>
      <c r="C128" s="45" t="str">
        <f>IF($O128="","",INDEX('Project Plan'!$C$2:$C$201,MATCH($O128,'Project Plan'!$V$2:$V$201,0)))</f>
        <v/>
      </c>
      <c r="D128" s="45" t="str">
        <f>IF($O128="","",INDEX('Project Plan'!$D$2:$D$201,MATCH($O128,'Project Plan'!$V$2:$V$201,0)))</f>
        <v/>
      </c>
      <c r="E128" s="45" t="str">
        <f>IF($O128="","",INDEX('Project Plan'!$G$2:$G$201,MATCH($O128,'Project Plan'!$V$2:$V$201,0)))</f>
        <v/>
      </c>
      <c r="F128" s="46" t="str">
        <f>IF($O128="","",INDEX('Project Plan'!$I$2:$I$201,MATCH($O128,'Project Plan'!$V$2:$V$201,0)))</f>
        <v/>
      </c>
      <c r="G128" s="46" t="str">
        <f>IF($O128="","",INDEX('Project Plan'!$J$2:$J$201,MATCH($O128,'Project Plan'!$V$2:$V$201,0)))</f>
        <v/>
      </c>
      <c r="H128" s="46" t="str">
        <f>IF($O128="","",INDEX('Project Plan'!$M$2:$M$201,MATCH($O128,'Project Plan'!$V$2:$V$201,0)))</f>
        <v/>
      </c>
      <c r="I128" s="45" t="str">
        <f>IF($O128="","",INDEX('Project Plan'!$N$2:$N$201,MATCH($O128,'Project Plan'!$V$2:$V$201,0)))</f>
        <v/>
      </c>
      <c r="J128" s="47" t="str">
        <f>IF($O128="","",INDEX('Project Plan'!$O$2:$O$201,MATCH($O128,'Project Plan'!$V$2:$V$201,0)))</f>
        <v/>
      </c>
      <c r="K128" s="46" t="str">
        <f>IF($O128="","",INDEX('Project Plan'!$R$2:$R$201,MATCH($O128,'Project Plan'!$V$2:$V$201,0)))</f>
        <v/>
      </c>
      <c r="L128" s="38" t="str">
        <f>IF($O128="","",INDEX('Project Plan'!$S$2:$S$201,MATCH($O128,'Project Plan'!$V$2:$V$201,0)))</f>
        <v/>
      </c>
      <c r="M128" s="38" t="str">
        <f>IF($O128="","",INDEX('Project Plan'!$T$2:$T$201,MATCH($O128,'Project Plan'!$V$2:$V$201,0)))</f>
        <v/>
      </c>
      <c r="N128" s="94" t="str">
        <f>IF($O128="","",INDEX('Project Plan'!$U$2:$U$201,MATCH($O128,'Project Plan'!$V$2:$V$201,0)))</f>
        <v/>
      </c>
      <c r="O128" s="45" t="str">
        <f>IF(ROW()-1&lt;=MAX('Project Plan'!$V$2:$V$201),ROW()-1,"")</f>
        <v/>
      </c>
    </row>
    <row r="129" spans="1:15" ht="13.9" customHeight="1" x14ac:dyDescent="0.25">
      <c r="A129" s="93" t="str">
        <f>IF($O129="","",INDEX('Project Plan'!$A$2:$A$201,MATCH($O129,'Project Plan'!$V$2:$V$201,0)))</f>
        <v/>
      </c>
      <c r="B129" s="45" t="str">
        <f>IF($O129="","",INDEX('Project Plan'!$B$2:$B$201,MATCH($O129,'Project Plan'!$V$2:$V$201,0)))</f>
        <v/>
      </c>
      <c r="C129" s="45" t="str">
        <f>IF($O129="","",INDEX('Project Plan'!$C$2:$C$201,MATCH($O129,'Project Plan'!$V$2:$V$201,0)))</f>
        <v/>
      </c>
      <c r="D129" s="45" t="str">
        <f>IF($O129="","",INDEX('Project Plan'!$D$2:$D$201,MATCH($O129,'Project Plan'!$V$2:$V$201,0)))</f>
        <v/>
      </c>
      <c r="E129" s="45" t="str">
        <f>IF($O129="","",INDEX('Project Plan'!$G$2:$G$201,MATCH($O129,'Project Plan'!$V$2:$V$201,0)))</f>
        <v/>
      </c>
      <c r="F129" s="46" t="str">
        <f>IF($O129="","",INDEX('Project Plan'!$I$2:$I$201,MATCH($O129,'Project Plan'!$V$2:$V$201,0)))</f>
        <v/>
      </c>
      <c r="G129" s="46" t="str">
        <f>IF($O129="","",INDEX('Project Plan'!$J$2:$J$201,MATCH($O129,'Project Plan'!$V$2:$V$201,0)))</f>
        <v/>
      </c>
      <c r="H129" s="46" t="str">
        <f>IF($O129="","",INDEX('Project Plan'!$M$2:$M$201,MATCH($O129,'Project Plan'!$V$2:$V$201,0)))</f>
        <v/>
      </c>
      <c r="I129" s="45" t="str">
        <f>IF($O129="","",INDEX('Project Plan'!$N$2:$N$201,MATCH($O129,'Project Plan'!$V$2:$V$201,0)))</f>
        <v/>
      </c>
      <c r="J129" s="47" t="str">
        <f>IF($O129="","",INDEX('Project Plan'!$O$2:$O$201,MATCH($O129,'Project Plan'!$V$2:$V$201,0)))</f>
        <v/>
      </c>
      <c r="K129" s="46" t="str">
        <f>IF($O129="","",INDEX('Project Plan'!$R$2:$R$201,MATCH($O129,'Project Plan'!$V$2:$V$201,0)))</f>
        <v/>
      </c>
      <c r="L129" s="38" t="str">
        <f>IF($O129="","",INDEX('Project Plan'!$S$2:$S$201,MATCH($O129,'Project Plan'!$V$2:$V$201,0)))</f>
        <v/>
      </c>
      <c r="M129" s="38" t="str">
        <f>IF($O129="","",INDEX('Project Plan'!$T$2:$T$201,MATCH($O129,'Project Plan'!$V$2:$V$201,0)))</f>
        <v/>
      </c>
      <c r="N129" s="94" t="str">
        <f>IF($O129="","",INDEX('Project Plan'!$U$2:$U$201,MATCH($O129,'Project Plan'!$V$2:$V$201,0)))</f>
        <v/>
      </c>
      <c r="O129" s="45" t="str">
        <f>IF(ROW()-1&lt;=MAX('Project Plan'!$V$2:$V$201),ROW()-1,"")</f>
        <v/>
      </c>
    </row>
    <row r="130" spans="1:15" ht="13.9" customHeight="1" x14ac:dyDescent="0.25">
      <c r="A130" s="93" t="str">
        <f>IF($O130="","",INDEX('Project Plan'!$A$2:$A$201,MATCH($O130,'Project Plan'!$V$2:$V$201,0)))</f>
        <v/>
      </c>
      <c r="B130" s="45" t="str">
        <f>IF($O130="","",INDEX('Project Plan'!$B$2:$B$201,MATCH($O130,'Project Plan'!$V$2:$V$201,0)))</f>
        <v/>
      </c>
      <c r="C130" s="45" t="str">
        <f>IF($O130="","",INDEX('Project Plan'!$C$2:$C$201,MATCH($O130,'Project Plan'!$V$2:$V$201,0)))</f>
        <v/>
      </c>
      <c r="D130" s="45" t="str">
        <f>IF($O130="","",INDEX('Project Plan'!$D$2:$D$201,MATCH($O130,'Project Plan'!$V$2:$V$201,0)))</f>
        <v/>
      </c>
      <c r="E130" s="45" t="str">
        <f>IF($O130="","",INDEX('Project Plan'!$G$2:$G$201,MATCH($O130,'Project Plan'!$V$2:$V$201,0)))</f>
        <v/>
      </c>
      <c r="F130" s="46" t="str">
        <f>IF($O130="","",INDEX('Project Plan'!$I$2:$I$201,MATCH($O130,'Project Plan'!$V$2:$V$201,0)))</f>
        <v/>
      </c>
      <c r="G130" s="46" t="str">
        <f>IF($O130="","",INDEX('Project Plan'!$J$2:$J$201,MATCH($O130,'Project Plan'!$V$2:$V$201,0)))</f>
        <v/>
      </c>
      <c r="H130" s="46" t="str">
        <f>IF($O130="","",INDEX('Project Plan'!$M$2:$M$201,MATCH($O130,'Project Plan'!$V$2:$V$201,0)))</f>
        <v/>
      </c>
      <c r="I130" s="45" t="str">
        <f>IF($O130="","",INDEX('Project Plan'!$N$2:$N$201,MATCH($O130,'Project Plan'!$V$2:$V$201,0)))</f>
        <v/>
      </c>
      <c r="J130" s="47" t="str">
        <f>IF($O130="","",INDEX('Project Plan'!$O$2:$O$201,MATCH($O130,'Project Plan'!$V$2:$V$201,0)))</f>
        <v/>
      </c>
      <c r="K130" s="46" t="str">
        <f>IF($O130="","",INDEX('Project Plan'!$R$2:$R$201,MATCH($O130,'Project Plan'!$V$2:$V$201,0)))</f>
        <v/>
      </c>
      <c r="L130" s="38" t="str">
        <f>IF($O130="","",INDEX('Project Plan'!$S$2:$S$201,MATCH($O130,'Project Plan'!$V$2:$V$201,0)))</f>
        <v/>
      </c>
      <c r="M130" s="38" t="str">
        <f>IF($O130="","",INDEX('Project Plan'!$T$2:$T$201,MATCH($O130,'Project Plan'!$V$2:$V$201,0)))</f>
        <v/>
      </c>
      <c r="N130" s="94" t="str">
        <f>IF($O130="","",INDEX('Project Plan'!$U$2:$U$201,MATCH($O130,'Project Plan'!$V$2:$V$201,0)))</f>
        <v/>
      </c>
      <c r="O130" s="45" t="str">
        <f>IF(ROW()-1&lt;=MAX('Project Plan'!$V$2:$V$201),ROW()-1,"")</f>
        <v/>
      </c>
    </row>
    <row r="131" spans="1:15" ht="13.9" customHeight="1" x14ac:dyDescent="0.25">
      <c r="A131" s="93" t="str">
        <f>IF($O131="","",INDEX('Project Plan'!$A$2:$A$201,MATCH($O131,'Project Plan'!$V$2:$V$201,0)))</f>
        <v/>
      </c>
      <c r="B131" s="45" t="str">
        <f>IF($O131="","",INDEX('Project Plan'!$B$2:$B$201,MATCH($O131,'Project Plan'!$V$2:$V$201,0)))</f>
        <v/>
      </c>
      <c r="C131" s="45" t="str">
        <f>IF($O131="","",INDEX('Project Plan'!$C$2:$C$201,MATCH($O131,'Project Plan'!$V$2:$V$201,0)))</f>
        <v/>
      </c>
      <c r="D131" s="45" t="str">
        <f>IF($O131="","",INDEX('Project Plan'!$D$2:$D$201,MATCH($O131,'Project Plan'!$V$2:$V$201,0)))</f>
        <v/>
      </c>
      <c r="E131" s="45" t="str">
        <f>IF($O131="","",INDEX('Project Plan'!$G$2:$G$201,MATCH($O131,'Project Plan'!$V$2:$V$201,0)))</f>
        <v/>
      </c>
      <c r="F131" s="46" t="str">
        <f>IF($O131="","",INDEX('Project Plan'!$I$2:$I$201,MATCH($O131,'Project Plan'!$V$2:$V$201,0)))</f>
        <v/>
      </c>
      <c r="G131" s="46" t="str">
        <f>IF($O131="","",INDEX('Project Plan'!$J$2:$J$201,MATCH($O131,'Project Plan'!$V$2:$V$201,0)))</f>
        <v/>
      </c>
      <c r="H131" s="46" t="str">
        <f>IF($O131="","",INDEX('Project Plan'!$M$2:$M$201,MATCH($O131,'Project Plan'!$V$2:$V$201,0)))</f>
        <v/>
      </c>
      <c r="I131" s="45" t="str">
        <f>IF($O131="","",INDEX('Project Plan'!$N$2:$N$201,MATCH($O131,'Project Plan'!$V$2:$V$201,0)))</f>
        <v/>
      </c>
      <c r="J131" s="47" t="str">
        <f>IF($O131="","",INDEX('Project Plan'!$O$2:$O$201,MATCH($O131,'Project Plan'!$V$2:$V$201,0)))</f>
        <v/>
      </c>
      <c r="K131" s="46" t="str">
        <f>IF($O131="","",INDEX('Project Plan'!$R$2:$R$201,MATCH($O131,'Project Plan'!$V$2:$V$201,0)))</f>
        <v/>
      </c>
      <c r="L131" s="38" t="str">
        <f>IF($O131="","",INDEX('Project Plan'!$S$2:$S$201,MATCH($O131,'Project Plan'!$V$2:$V$201,0)))</f>
        <v/>
      </c>
      <c r="M131" s="38" t="str">
        <f>IF($O131="","",INDEX('Project Plan'!$T$2:$T$201,MATCH($O131,'Project Plan'!$V$2:$V$201,0)))</f>
        <v/>
      </c>
      <c r="N131" s="94" t="str">
        <f>IF($O131="","",INDEX('Project Plan'!$U$2:$U$201,MATCH($O131,'Project Plan'!$V$2:$V$201,0)))</f>
        <v/>
      </c>
      <c r="O131" s="45" t="str">
        <f>IF(ROW()-1&lt;=MAX('Project Plan'!$V$2:$V$201),ROW()-1,"")</f>
        <v/>
      </c>
    </row>
    <row r="132" spans="1:15" ht="13.9" customHeight="1" x14ac:dyDescent="0.25">
      <c r="A132" s="93" t="str">
        <f>IF($O132="","",INDEX('Project Plan'!$A$2:$A$201,MATCH($O132,'Project Plan'!$V$2:$V$201,0)))</f>
        <v/>
      </c>
      <c r="B132" s="45" t="str">
        <f>IF($O132="","",INDEX('Project Plan'!$B$2:$B$201,MATCH($O132,'Project Plan'!$V$2:$V$201,0)))</f>
        <v/>
      </c>
      <c r="C132" s="45" t="str">
        <f>IF($O132="","",INDEX('Project Plan'!$C$2:$C$201,MATCH($O132,'Project Plan'!$V$2:$V$201,0)))</f>
        <v/>
      </c>
      <c r="D132" s="45" t="str">
        <f>IF($O132="","",INDEX('Project Plan'!$D$2:$D$201,MATCH($O132,'Project Plan'!$V$2:$V$201,0)))</f>
        <v/>
      </c>
      <c r="E132" s="45" t="str">
        <f>IF($O132="","",INDEX('Project Plan'!$G$2:$G$201,MATCH($O132,'Project Plan'!$V$2:$V$201,0)))</f>
        <v/>
      </c>
      <c r="F132" s="46" t="str">
        <f>IF($O132="","",INDEX('Project Plan'!$I$2:$I$201,MATCH($O132,'Project Plan'!$V$2:$V$201,0)))</f>
        <v/>
      </c>
      <c r="G132" s="46" t="str">
        <f>IF($O132="","",INDEX('Project Plan'!$J$2:$J$201,MATCH($O132,'Project Plan'!$V$2:$V$201,0)))</f>
        <v/>
      </c>
      <c r="H132" s="46" t="str">
        <f>IF($O132="","",INDEX('Project Plan'!$M$2:$M$201,MATCH($O132,'Project Plan'!$V$2:$V$201,0)))</f>
        <v/>
      </c>
      <c r="I132" s="45" t="str">
        <f>IF($O132="","",INDEX('Project Plan'!$N$2:$N$201,MATCH($O132,'Project Plan'!$V$2:$V$201,0)))</f>
        <v/>
      </c>
      <c r="J132" s="47" t="str">
        <f>IF($O132="","",INDEX('Project Plan'!$O$2:$O$201,MATCH($O132,'Project Plan'!$V$2:$V$201,0)))</f>
        <v/>
      </c>
      <c r="K132" s="46" t="str">
        <f>IF($O132="","",INDEX('Project Plan'!$R$2:$R$201,MATCH($O132,'Project Plan'!$V$2:$V$201,0)))</f>
        <v/>
      </c>
      <c r="L132" s="38" t="str">
        <f>IF($O132="","",INDEX('Project Plan'!$S$2:$S$201,MATCH($O132,'Project Plan'!$V$2:$V$201,0)))</f>
        <v/>
      </c>
      <c r="M132" s="38" t="str">
        <f>IF($O132="","",INDEX('Project Plan'!$T$2:$T$201,MATCH($O132,'Project Plan'!$V$2:$V$201,0)))</f>
        <v/>
      </c>
      <c r="N132" s="94" t="str">
        <f>IF($O132="","",INDEX('Project Plan'!$U$2:$U$201,MATCH($O132,'Project Plan'!$V$2:$V$201,0)))</f>
        <v/>
      </c>
      <c r="O132" s="45" t="str">
        <f>IF(ROW()-1&lt;=MAX('Project Plan'!$V$2:$V$201),ROW()-1,"")</f>
        <v/>
      </c>
    </row>
    <row r="133" spans="1:15" ht="13.9" customHeight="1" x14ac:dyDescent="0.25">
      <c r="A133" s="93" t="str">
        <f>IF($O133="","",INDEX('Project Plan'!$A$2:$A$201,MATCH($O133,'Project Plan'!$V$2:$V$201,0)))</f>
        <v/>
      </c>
      <c r="B133" s="45" t="str">
        <f>IF($O133="","",INDEX('Project Plan'!$B$2:$B$201,MATCH($O133,'Project Plan'!$V$2:$V$201,0)))</f>
        <v/>
      </c>
      <c r="C133" s="45" t="str">
        <f>IF($O133="","",INDEX('Project Plan'!$C$2:$C$201,MATCH($O133,'Project Plan'!$V$2:$V$201,0)))</f>
        <v/>
      </c>
      <c r="D133" s="45" t="str">
        <f>IF($O133="","",INDEX('Project Plan'!$D$2:$D$201,MATCH($O133,'Project Plan'!$V$2:$V$201,0)))</f>
        <v/>
      </c>
      <c r="E133" s="45" t="str">
        <f>IF($O133="","",INDEX('Project Plan'!$G$2:$G$201,MATCH($O133,'Project Plan'!$V$2:$V$201,0)))</f>
        <v/>
      </c>
      <c r="F133" s="46" t="str">
        <f>IF($O133="","",INDEX('Project Plan'!$I$2:$I$201,MATCH($O133,'Project Plan'!$V$2:$V$201,0)))</f>
        <v/>
      </c>
      <c r="G133" s="46" t="str">
        <f>IF($O133="","",INDEX('Project Plan'!$J$2:$J$201,MATCH($O133,'Project Plan'!$V$2:$V$201,0)))</f>
        <v/>
      </c>
      <c r="H133" s="46" t="str">
        <f>IF($O133="","",INDEX('Project Plan'!$M$2:$M$201,MATCH($O133,'Project Plan'!$V$2:$V$201,0)))</f>
        <v/>
      </c>
      <c r="I133" s="45" t="str">
        <f>IF($O133="","",INDEX('Project Plan'!$N$2:$N$201,MATCH($O133,'Project Plan'!$V$2:$V$201,0)))</f>
        <v/>
      </c>
      <c r="J133" s="47" t="str">
        <f>IF($O133="","",INDEX('Project Plan'!$O$2:$O$201,MATCH($O133,'Project Plan'!$V$2:$V$201,0)))</f>
        <v/>
      </c>
      <c r="K133" s="46" t="str">
        <f>IF($O133="","",INDEX('Project Plan'!$R$2:$R$201,MATCH($O133,'Project Plan'!$V$2:$V$201,0)))</f>
        <v/>
      </c>
      <c r="L133" s="38" t="str">
        <f>IF($O133="","",INDEX('Project Plan'!$S$2:$S$201,MATCH($O133,'Project Plan'!$V$2:$V$201,0)))</f>
        <v/>
      </c>
      <c r="M133" s="38" t="str">
        <f>IF($O133="","",INDEX('Project Plan'!$T$2:$T$201,MATCH($O133,'Project Plan'!$V$2:$V$201,0)))</f>
        <v/>
      </c>
      <c r="N133" s="94" t="str">
        <f>IF($O133="","",INDEX('Project Plan'!$U$2:$U$201,MATCH($O133,'Project Plan'!$V$2:$V$201,0)))</f>
        <v/>
      </c>
      <c r="O133" s="45" t="str">
        <f>IF(ROW()-1&lt;=MAX('Project Plan'!$V$2:$V$201),ROW()-1,"")</f>
        <v/>
      </c>
    </row>
    <row r="134" spans="1:15" ht="13.9" customHeight="1" x14ac:dyDescent="0.25">
      <c r="A134" s="93" t="str">
        <f>IF($O134="","",INDEX('Project Plan'!$A$2:$A$201,MATCH($O134,'Project Plan'!$V$2:$V$201,0)))</f>
        <v/>
      </c>
      <c r="B134" s="45" t="str">
        <f>IF($O134="","",INDEX('Project Plan'!$B$2:$B$201,MATCH($O134,'Project Plan'!$V$2:$V$201,0)))</f>
        <v/>
      </c>
      <c r="C134" s="45" t="str">
        <f>IF($O134="","",INDEX('Project Plan'!$C$2:$C$201,MATCH($O134,'Project Plan'!$V$2:$V$201,0)))</f>
        <v/>
      </c>
      <c r="D134" s="45" t="str">
        <f>IF($O134="","",INDEX('Project Plan'!$D$2:$D$201,MATCH($O134,'Project Plan'!$V$2:$V$201,0)))</f>
        <v/>
      </c>
      <c r="E134" s="45" t="str">
        <f>IF($O134="","",INDEX('Project Plan'!$G$2:$G$201,MATCH($O134,'Project Plan'!$V$2:$V$201,0)))</f>
        <v/>
      </c>
      <c r="F134" s="46" t="str">
        <f>IF($O134="","",INDEX('Project Plan'!$I$2:$I$201,MATCH($O134,'Project Plan'!$V$2:$V$201,0)))</f>
        <v/>
      </c>
      <c r="G134" s="46" t="str">
        <f>IF($O134="","",INDEX('Project Plan'!$J$2:$J$201,MATCH($O134,'Project Plan'!$V$2:$V$201,0)))</f>
        <v/>
      </c>
      <c r="H134" s="46" t="str">
        <f>IF($O134="","",INDEX('Project Plan'!$M$2:$M$201,MATCH($O134,'Project Plan'!$V$2:$V$201,0)))</f>
        <v/>
      </c>
      <c r="I134" s="45" t="str">
        <f>IF($O134="","",INDEX('Project Plan'!$N$2:$N$201,MATCH($O134,'Project Plan'!$V$2:$V$201,0)))</f>
        <v/>
      </c>
      <c r="J134" s="47" t="str">
        <f>IF($O134="","",INDEX('Project Plan'!$O$2:$O$201,MATCH($O134,'Project Plan'!$V$2:$V$201,0)))</f>
        <v/>
      </c>
      <c r="K134" s="46" t="str">
        <f>IF($O134="","",INDEX('Project Plan'!$R$2:$R$201,MATCH($O134,'Project Plan'!$V$2:$V$201,0)))</f>
        <v/>
      </c>
      <c r="L134" s="38" t="str">
        <f>IF($O134="","",INDEX('Project Plan'!$S$2:$S$201,MATCH($O134,'Project Plan'!$V$2:$V$201,0)))</f>
        <v/>
      </c>
      <c r="M134" s="38" t="str">
        <f>IF($O134="","",INDEX('Project Plan'!$T$2:$T$201,MATCH($O134,'Project Plan'!$V$2:$V$201,0)))</f>
        <v/>
      </c>
      <c r="N134" s="94" t="str">
        <f>IF($O134="","",INDEX('Project Plan'!$U$2:$U$201,MATCH($O134,'Project Plan'!$V$2:$V$201,0)))</f>
        <v/>
      </c>
      <c r="O134" s="45" t="str">
        <f>IF(ROW()-1&lt;=MAX('Project Plan'!$V$2:$V$201),ROW()-1,"")</f>
        <v/>
      </c>
    </row>
    <row r="135" spans="1:15" ht="13.9" customHeight="1" x14ac:dyDescent="0.25">
      <c r="A135" s="93" t="str">
        <f>IF($O135="","",INDEX('Project Plan'!$A$2:$A$201,MATCH($O135,'Project Plan'!$V$2:$V$201,0)))</f>
        <v/>
      </c>
      <c r="B135" s="45" t="str">
        <f>IF($O135="","",INDEX('Project Plan'!$B$2:$B$201,MATCH($O135,'Project Plan'!$V$2:$V$201,0)))</f>
        <v/>
      </c>
      <c r="C135" s="45" t="str">
        <f>IF($O135="","",INDEX('Project Plan'!$C$2:$C$201,MATCH($O135,'Project Plan'!$V$2:$V$201,0)))</f>
        <v/>
      </c>
      <c r="D135" s="45" t="str">
        <f>IF($O135="","",INDEX('Project Plan'!$D$2:$D$201,MATCH($O135,'Project Plan'!$V$2:$V$201,0)))</f>
        <v/>
      </c>
      <c r="E135" s="45" t="str">
        <f>IF($O135="","",INDEX('Project Plan'!$G$2:$G$201,MATCH($O135,'Project Plan'!$V$2:$V$201,0)))</f>
        <v/>
      </c>
      <c r="F135" s="46" t="str">
        <f>IF($O135="","",INDEX('Project Plan'!$I$2:$I$201,MATCH($O135,'Project Plan'!$V$2:$V$201,0)))</f>
        <v/>
      </c>
      <c r="G135" s="46" t="str">
        <f>IF($O135="","",INDEX('Project Plan'!$J$2:$J$201,MATCH($O135,'Project Plan'!$V$2:$V$201,0)))</f>
        <v/>
      </c>
      <c r="H135" s="46" t="str">
        <f>IF($O135="","",INDEX('Project Plan'!$M$2:$M$201,MATCH($O135,'Project Plan'!$V$2:$V$201,0)))</f>
        <v/>
      </c>
      <c r="I135" s="45" t="str">
        <f>IF($O135="","",INDEX('Project Plan'!$N$2:$N$201,MATCH($O135,'Project Plan'!$V$2:$V$201,0)))</f>
        <v/>
      </c>
      <c r="J135" s="47" t="str">
        <f>IF($O135="","",INDEX('Project Plan'!$O$2:$O$201,MATCH($O135,'Project Plan'!$V$2:$V$201,0)))</f>
        <v/>
      </c>
      <c r="K135" s="46" t="str">
        <f>IF($O135="","",INDEX('Project Plan'!$R$2:$R$201,MATCH($O135,'Project Plan'!$V$2:$V$201,0)))</f>
        <v/>
      </c>
      <c r="L135" s="38" t="str">
        <f>IF($O135="","",INDEX('Project Plan'!$S$2:$S$201,MATCH($O135,'Project Plan'!$V$2:$V$201,0)))</f>
        <v/>
      </c>
      <c r="M135" s="38" t="str">
        <f>IF($O135="","",INDEX('Project Plan'!$T$2:$T$201,MATCH($O135,'Project Plan'!$V$2:$V$201,0)))</f>
        <v/>
      </c>
      <c r="N135" s="94" t="str">
        <f>IF($O135="","",INDEX('Project Plan'!$U$2:$U$201,MATCH($O135,'Project Plan'!$V$2:$V$201,0)))</f>
        <v/>
      </c>
      <c r="O135" s="45" t="str">
        <f>IF(ROW()-1&lt;=MAX('Project Plan'!$V$2:$V$201),ROW()-1,"")</f>
        <v/>
      </c>
    </row>
    <row r="136" spans="1:15" ht="13.9" customHeight="1" x14ac:dyDescent="0.25">
      <c r="A136" s="93" t="str">
        <f>IF($O136="","",INDEX('Project Plan'!$A$2:$A$201,MATCH($O136,'Project Plan'!$V$2:$V$201,0)))</f>
        <v/>
      </c>
      <c r="B136" s="45" t="str">
        <f>IF($O136="","",INDEX('Project Plan'!$B$2:$B$201,MATCH($O136,'Project Plan'!$V$2:$V$201,0)))</f>
        <v/>
      </c>
      <c r="C136" s="45" t="str">
        <f>IF($O136="","",INDEX('Project Plan'!$C$2:$C$201,MATCH($O136,'Project Plan'!$V$2:$V$201,0)))</f>
        <v/>
      </c>
      <c r="D136" s="45" t="str">
        <f>IF($O136="","",INDEX('Project Plan'!$D$2:$D$201,MATCH($O136,'Project Plan'!$V$2:$V$201,0)))</f>
        <v/>
      </c>
      <c r="E136" s="45" t="str">
        <f>IF($O136="","",INDEX('Project Plan'!$G$2:$G$201,MATCH($O136,'Project Plan'!$V$2:$V$201,0)))</f>
        <v/>
      </c>
      <c r="F136" s="46" t="str">
        <f>IF($O136="","",INDEX('Project Plan'!$I$2:$I$201,MATCH($O136,'Project Plan'!$V$2:$V$201,0)))</f>
        <v/>
      </c>
      <c r="G136" s="46" t="str">
        <f>IF($O136="","",INDEX('Project Plan'!$J$2:$J$201,MATCH($O136,'Project Plan'!$V$2:$V$201,0)))</f>
        <v/>
      </c>
      <c r="H136" s="46" t="str">
        <f>IF($O136="","",INDEX('Project Plan'!$M$2:$M$201,MATCH($O136,'Project Plan'!$V$2:$V$201,0)))</f>
        <v/>
      </c>
      <c r="I136" s="45" t="str">
        <f>IF($O136="","",INDEX('Project Plan'!$N$2:$N$201,MATCH($O136,'Project Plan'!$V$2:$V$201,0)))</f>
        <v/>
      </c>
      <c r="J136" s="47" t="str">
        <f>IF($O136="","",INDEX('Project Plan'!$O$2:$O$201,MATCH($O136,'Project Plan'!$V$2:$V$201,0)))</f>
        <v/>
      </c>
      <c r="K136" s="46" t="str">
        <f>IF($O136="","",INDEX('Project Plan'!$R$2:$R$201,MATCH($O136,'Project Plan'!$V$2:$V$201,0)))</f>
        <v/>
      </c>
      <c r="L136" s="38" t="str">
        <f>IF($O136="","",INDEX('Project Plan'!$S$2:$S$201,MATCH($O136,'Project Plan'!$V$2:$V$201,0)))</f>
        <v/>
      </c>
      <c r="M136" s="38" t="str">
        <f>IF($O136="","",INDEX('Project Plan'!$T$2:$T$201,MATCH($O136,'Project Plan'!$V$2:$V$201,0)))</f>
        <v/>
      </c>
      <c r="N136" s="94" t="str">
        <f>IF($O136="","",INDEX('Project Plan'!$U$2:$U$201,MATCH($O136,'Project Plan'!$V$2:$V$201,0)))</f>
        <v/>
      </c>
      <c r="O136" s="45" t="str">
        <f>IF(ROW()-1&lt;=MAX('Project Plan'!$V$2:$V$201),ROW()-1,"")</f>
        <v/>
      </c>
    </row>
    <row r="137" spans="1:15" ht="13.9" customHeight="1" x14ac:dyDescent="0.25">
      <c r="A137" s="93" t="str">
        <f>IF($O137="","",INDEX('Project Plan'!$A$2:$A$201,MATCH($O137,'Project Plan'!$V$2:$V$201,0)))</f>
        <v/>
      </c>
      <c r="B137" s="45" t="str">
        <f>IF($O137="","",INDEX('Project Plan'!$B$2:$B$201,MATCH($O137,'Project Plan'!$V$2:$V$201,0)))</f>
        <v/>
      </c>
      <c r="C137" s="45" t="str">
        <f>IF($O137="","",INDEX('Project Plan'!$C$2:$C$201,MATCH($O137,'Project Plan'!$V$2:$V$201,0)))</f>
        <v/>
      </c>
      <c r="D137" s="45" t="str">
        <f>IF($O137="","",INDEX('Project Plan'!$D$2:$D$201,MATCH($O137,'Project Plan'!$V$2:$V$201,0)))</f>
        <v/>
      </c>
      <c r="E137" s="45" t="str">
        <f>IF($O137="","",INDEX('Project Plan'!$G$2:$G$201,MATCH($O137,'Project Plan'!$V$2:$V$201,0)))</f>
        <v/>
      </c>
      <c r="F137" s="46" t="str">
        <f>IF($O137="","",INDEX('Project Plan'!$I$2:$I$201,MATCH($O137,'Project Plan'!$V$2:$V$201,0)))</f>
        <v/>
      </c>
      <c r="G137" s="46" t="str">
        <f>IF($O137="","",INDEX('Project Plan'!$J$2:$J$201,MATCH($O137,'Project Plan'!$V$2:$V$201,0)))</f>
        <v/>
      </c>
      <c r="H137" s="46" t="str">
        <f>IF($O137="","",INDEX('Project Plan'!$M$2:$M$201,MATCH($O137,'Project Plan'!$V$2:$V$201,0)))</f>
        <v/>
      </c>
      <c r="I137" s="45" t="str">
        <f>IF($O137="","",INDEX('Project Plan'!$N$2:$N$201,MATCH($O137,'Project Plan'!$V$2:$V$201,0)))</f>
        <v/>
      </c>
      <c r="J137" s="47" t="str">
        <f>IF($O137="","",INDEX('Project Plan'!$O$2:$O$201,MATCH($O137,'Project Plan'!$V$2:$V$201,0)))</f>
        <v/>
      </c>
      <c r="K137" s="46" t="str">
        <f>IF($O137="","",INDEX('Project Plan'!$R$2:$R$201,MATCH($O137,'Project Plan'!$V$2:$V$201,0)))</f>
        <v/>
      </c>
      <c r="L137" s="38" t="str">
        <f>IF($O137="","",INDEX('Project Plan'!$S$2:$S$201,MATCH($O137,'Project Plan'!$V$2:$V$201,0)))</f>
        <v/>
      </c>
      <c r="M137" s="38" t="str">
        <f>IF($O137="","",INDEX('Project Plan'!$T$2:$T$201,MATCH($O137,'Project Plan'!$V$2:$V$201,0)))</f>
        <v/>
      </c>
      <c r="N137" s="94" t="str">
        <f>IF($O137="","",INDEX('Project Plan'!$U$2:$U$201,MATCH($O137,'Project Plan'!$V$2:$V$201,0)))</f>
        <v/>
      </c>
      <c r="O137" s="45" t="str">
        <f>IF(ROW()-1&lt;=MAX('Project Plan'!$V$2:$V$201),ROW()-1,"")</f>
        <v/>
      </c>
    </row>
    <row r="138" spans="1:15" ht="13.9" customHeight="1" x14ac:dyDescent="0.25">
      <c r="A138" s="93" t="str">
        <f>IF($O138="","",INDEX('Project Plan'!$A$2:$A$201,MATCH($O138,'Project Plan'!$V$2:$V$201,0)))</f>
        <v/>
      </c>
      <c r="B138" s="45" t="str">
        <f>IF($O138="","",INDEX('Project Plan'!$B$2:$B$201,MATCH($O138,'Project Plan'!$V$2:$V$201,0)))</f>
        <v/>
      </c>
      <c r="C138" s="45" t="str">
        <f>IF($O138="","",INDEX('Project Plan'!$C$2:$C$201,MATCH($O138,'Project Plan'!$V$2:$V$201,0)))</f>
        <v/>
      </c>
      <c r="D138" s="45" t="str">
        <f>IF($O138="","",INDEX('Project Plan'!$D$2:$D$201,MATCH($O138,'Project Plan'!$V$2:$V$201,0)))</f>
        <v/>
      </c>
      <c r="E138" s="45" t="str">
        <f>IF($O138="","",INDEX('Project Plan'!$G$2:$G$201,MATCH($O138,'Project Plan'!$V$2:$V$201,0)))</f>
        <v/>
      </c>
      <c r="F138" s="46" t="str">
        <f>IF($O138="","",INDEX('Project Plan'!$I$2:$I$201,MATCH($O138,'Project Plan'!$V$2:$V$201,0)))</f>
        <v/>
      </c>
      <c r="G138" s="46" t="str">
        <f>IF($O138="","",INDEX('Project Plan'!$J$2:$J$201,MATCH($O138,'Project Plan'!$V$2:$V$201,0)))</f>
        <v/>
      </c>
      <c r="H138" s="46" t="str">
        <f>IF($O138="","",INDEX('Project Plan'!$M$2:$M$201,MATCH($O138,'Project Plan'!$V$2:$V$201,0)))</f>
        <v/>
      </c>
      <c r="I138" s="45" t="str">
        <f>IF($O138="","",INDEX('Project Plan'!$N$2:$N$201,MATCH($O138,'Project Plan'!$V$2:$V$201,0)))</f>
        <v/>
      </c>
      <c r="J138" s="47" t="str">
        <f>IF($O138="","",INDEX('Project Plan'!$O$2:$O$201,MATCH($O138,'Project Plan'!$V$2:$V$201,0)))</f>
        <v/>
      </c>
      <c r="K138" s="46" t="str">
        <f>IF($O138="","",INDEX('Project Plan'!$R$2:$R$201,MATCH($O138,'Project Plan'!$V$2:$V$201,0)))</f>
        <v/>
      </c>
      <c r="L138" s="38" t="str">
        <f>IF($O138="","",INDEX('Project Plan'!$S$2:$S$201,MATCH($O138,'Project Plan'!$V$2:$V$201,0)))</f>
        <v/>
      </c>
      <c r="M138" s="38" t="str">
        <f>IF($O138="","",INDEX('Project Plan'!$T$2:$T$201,MATCH($O138,'Project Plan'!$V$2:$V$201,0)))</f>
        <v/>
      </c>
      <c r="N138" s="94" t="str">
        <f>IF($O138="","",INDEX('Project Plan'!$U$2:$U$201,MATCH($O138,'Project Plan'!$V$2:$V$201,0)))</f>
        <v/>
      </c>
      <c r="O138" s="45" t="str">
        <f>IF(ROW()-1&lt;=MAX('Project Plan'!$V$2:$V$201),ROW()-1,"")</f>
        <v/>
      </c>
    </row>
    <row r="139" spans="1:15" ht="13.9" customHeight="1" x14ac:dyDescent="0.25">
      <c r="A139" s="93" t="str">
        <f>IF($O139="","",INDEX('Project Plan'!$A$2:$A$201,MATCH($O139,'Project Plan'!$V$2:$V$201,0)))</f>
        <v/>
      </c>
      <c r="B139" s="45" t="str">
        <f>IF($O139="","",INDEX('Project Plan'!$B$2:$B$201,MATCH($O139,'Project Plan'!$V$2:$V$201,0)))</f>
        <v/>
      </c>
      <c r="C139" s="45" t="str">
        <f>IF($O139="","",INDEX('Project Plan'!$C$2:$C$201,MATCH($O139,'Project Plan'!$V$2:$V$201,0)))</f>
        <v/>
      </c>
      <c r="D139" s="45" t="str">
        <f>IF($O139="","",INDEX('Project Plan'!$D$2:$D$201,MATCH($O139,'Project Plan'!$V$2:$V$201,0)))</f>
        <v/>
      </c>
      <c r="E139" s="45" t="str">
        <f>IF($O139="","",INDEX('Project Plan'!$G$2:$G$201,MATCH($O139,'Project Plan'!$V$2:$V$201,0)))</f>
        <v/>
      </c>
      <c r="F139" s="46" t="str">
        <f>IF($O139="","",INDEX('Project Plan'!$I$2:$I$201,MATCH($O139,'Project Plan'!$V$2:$V$201,0)))</f>
        <v/>
      </c>
      <c r="G139" s="46" t="str">
        <f>IF($O139="","",INDEX('Project Plan'!$J$2:$J$201,MATCH($O139,'Project Plan'!$V$2:$V$201,0)))</f>
        <v/>
      </c>
      <c r="H139" s="46" t="str">
        <f>IF($O139="","",INDEX('Project Plan'!$M$2:$M$201,MATCH($O139,'Project Plan'!$V$2:$V$201,0)))</f>
        <v/>
      </c>
      <c r="I139" s="45" t="str">
        <f>IF($O139="","",INDEX('Project Plan'!$N$2:$N$201,MATCH($O139,'Project Plan'!$V$2:$V$201,0)))</f>
        <v/>
      </c>
      <c r="J139" s="47" t="str">
        <f>IF($O139="","",INDEX('Project Plan'!$O$2:$O$201,MATCH($O139,'Project Plan'!$V$2:$V$201,0)))</f>
        <v/>
      </c>
      <c r="K139" s="46" t="str">
        <f>IF($O139="","",INDEX('Project Plan'!$R$2:$R$201,MATCH($O139,'Project Plan'!$V$2:$V$201,0)))</f>
        <v/>
      </c>
      <c r="L139" s="38" t="str">
        <f>IF($O139="","",INDEX('Project Plan'!$S$2:$S$201,MATCH($O139,'Project Plan'!$V$2:$V$201,0)))</f>
        <v/>
      </c>
      <c r="M139" s="38" t="str">
        <f>IF($O139="","",INDEX('Project Plan'!$T$2:$T$201,MATCH($O139,'Project Plan'!$V$2:$V$201,0)))</f>
        <v/>
      </c>
      <c r="N139" s="94" t="str">
        <f>IF($O139="","",INDEX('Project Plan'!$U$2:$U$201,MATCH($O139,'Project Plan'!$V$2:$V$201,0)))</f>
        <v/>
      </c>
      <c r="O139" s="45" t="str">
        <f>IF(ROW()-1&lt;=MAX('Project Plan'!$V$2:$V$201),ROW()-1,"")</f>
        <v/>
      </c>
    </row>
    <row r="140" spans="1:15" ht="13.9" customHeight="1" x14ac:dyDescent="0.25">
      <c r="A140" s="93" t="str">
        <f>IF($O140="","",INDEX('Project Plan'!$A$2:$A$201,MATCH($O140,'Project Plan'!$V$2:$V$201,0)))</f>
        <v/>
      </c>
      <c r="B140" s="45" t="str">
        <f>IF($O140="","",INDEX('Project Plan'!$B$2:$B$201,MATCH($O140,'Project Plan'!$V$2:$V$201,0)))</f>
        <v/>
      </c>
      <c r="C140" s="45" t="str">
        <f>IF($O140="","",INDEX('Project Plan'!$C$2:$C$201,MATCH($O140,'Project Plan'!$V$2:$V$201,0)))</f>
        <v/>
      </c>
      <c r="D140" s="45" t="str">
        <f>IF($O140="","",INDEX('Project Plan'!$D$2:$D$201,MATCH($O140,'Project Plan'!$V$2:$V$201,0)))</f>
        <v/>
      </c>
      <c r="E140" s="45" t="str">
        <f>IF($O140="","",INDEX('Project Plan'!$G$2:$G$201,MATCH($O140,'Project Plan'!$V$2:$V$201,0)))</f>
        <v/>
      </c>
      <c r="F140" s="46" t="str">
        <f>IF($O140="","",INDEX('Project Plan'!$I$2:$I$201,MATCH($O140,'Project Plan'!$V$2:$V$201,0)))</f>
        <v/>
      </c>
      <c r="G140" s="46" t="str">
        <f>IF($O140="","",INDEX('Project Plan'!$J$2:$J$201,MATCH($O140,'Project Plan'!$V$2:$V$201,0)))</f>
        <v/>
      </c>
      <c r="H140" s="46" t="str">
        <f>IF($O140="","",INDEX('Project Plan'!$M$2:$M$201,MATCH($O140,'Project Plan'!$V$2:$V$201,0)))</f>
        <v/>
      </c>
      <c r="I140" s="45" t="str">
        <f>IF($O140="","",INDEX('Project Plan'!$N$2:$N$201,MATCH($O140,'Project Plan'!$V$2:$V$201,0)))</f>
        <v/>
      </c>
      <c r="J140" s="47" t="str">
        <f>IF($O140="","",INDEX('Project Plan'!$O$2:$O$201,MATCH($O140,'Project Plan'!$V$2:$V$201,0)))</f>
        <v/>
      </c>
      <c r="K140" s="46" t="str">
        <f>IF($O140="","",INDEX('Project Plan'!$R$2:$R$201,MATCH($O140,'Project Plan'!$V$2:$V$201,0)))</f>
        <v/>
      </c>
      <c r="L140" s="38" t="str">
        <f>IF($O140="","",INDEX('Project Plan'!$S$2:$S$201,MATCH($O140,'Project Plan'!$V$2:$V$201,0)))</f>
        <v/>
      </c>
      <c r="M140" s="38" t="str">
        <f>IF($O140="","",INDEX('Project Plan'!$T$2:$T$201,MATCH($O140,'Project Plan'!$V$2:$V$201,0)))</f>
        <v/>
      </c>
      <c r="N140" s="94" t="str">
        <f>IF($O140="","",INDEX('Project Plan'!$U$2:$U$201,MATCH($O140,'Project Plan'!$V$2:$V$201,0)))</f>
        <v/>
      </c>
      <c r="O140" s="45" t="str">
        <f>IF(ROW()-1&lt;=MAX('Project Plan'!$V$2:$V$201),ROW()-1,"")</f>
        <v/>
      </c>
    </row>
    <row r="141" spans="1:15" ht="13.9" customHeight="1" x14ac:dyDescent="0.25">
      <c r="A141" s="93" t="str">
        <f>IF($O141="","",INDEX('Project Plan'!$A$2:$A$201,MATCH($O141,'Project Plan'!$V$2:$V$201,0)))</f>
        <v/>
      </c>
      <c r="B141" s="45" t="str">
        <f>IF($O141="","",INDEX('Project Plan'!$B$2:$B$201,MATCH($O141,'Project Plan'!$V$2:$V$201,0)))</f>
        <v/>
      </c>
      <c r="C141" s="45" t="str">
        <f>IF($O141="","",INDEX('Project Plan'!$C$2:$C$201,MATCH($O141,'Project Plan'!$V$2:$V$201,0)))</f>
        <v/>
      </c>
      <c r="D141" s="45" t="str">
        <f>IF($O141="","",INDEX('Project Plan'!$D$2:$D$201,MATCH($O141,'Project Plan'!$V$2:$V$201,0)))</f>
        <v/>
      </c>
      <c r="E141" s="45" t="str">
        <f>IF($O141="","",INDEX('Project Plan'!$G$2:$G$201,MATCH($O141,'Project Plan'!$V$2:$V$201,0)))</f>
        <v/>
      </c>
      <c r="F141" s="46" t="str">
        <f>IF($O141="","",INDEX('Project Plan'!$I$2:$I$201,MATCH($O141,'Project Plan'!$V$2:$V$201,0)))</f>
        <v/>
      </c>
      <c r="G141" s="46" t="str">
        <f>IF($O141="","",INDEX('Project Plan'!$J$2:$J$201,MATCH($O141,'Project Plan'!$V$2:$V$201,0)))</f>
        <v/>
      </c>
      <c r="H141" s="46" t="str">
        <f>IF($O141="","",INDEX('Project Plan'!$M$2:$M$201,MATCH($O141,'Project Plan'!$V$2:$V$201,0)))</f>
        <v/>
      </c>
      <c r="I141" s="45" t="str">
        <f>IF($O141="","",INDEX('Project Plan'!$N$2:$N$201,MATCH($O141,'Project Plan'!$V$2:$V$201,0)))</f>
        <v/>
      </c>
      <c r="J141" s="47" t="str">
        <f>IF($O141="","",INDEX('Project Plan'!$O$2:$O$201,MATCH($O141,'Project Plan'!$V$2:$V$201,0)))</f>
        <v/>
      </c>
      <c r="K141" s="46" t="str">
        <f>IF($O141="","",INDEX('Project Plan'!$R$2:$R$201,MATCH($O141,'Project Plan'!$V$2:$V$201,0)))</f>
        <v/>
      </c>
      <c r="L141" s="38" t="str">
        <f>IF($O141="","",INDEX('Project Plan'!$S$2:$S$201,MATCH($O141,'Project Plan'!$V$2:$V$201,0)))</f>
        <v/>
      </c>
      <c r="M141" s="38" t="str">
        <f>IF($O141="","",INDEX('Project Plan'!$T$2:$T$201,MATCH($O141,'Project Plan'!$V$2:$V$201,0)))</f>
        <v/>
      </c>
      <c r="N141" s="94" t="str">
        <f>IF($O141="","",INDEX('Project Plan'!$U$2:$U$201,MATCH($O141,'Project Plan'!$V$2:$V$201,0)))</f>
        <v/>
      </c>
      <c r="O141" s="45" t="str">
        <f>IF(ROW()-1&lt;=MAX('Project Plan'!$V$2:$V$201),ROW()-1,"")</f>
        <v/>
      </c>
    </row>
    <row r="142" spans="1:15" ht="13.9" customHeight="1" x14ac:dyDescent="0.25">
      <c r="A142" s="93" t="str">
        <f>IF($O142="","",INDEX('Project Plan'!$A$2:$A$201,MATCH($O142,'Project Plan'!$V$2:$V$201,0)))</f>
        <v/>
      </c>
      <c r="B142" s="45" t="str">
        <f>IF($O142="","",INDEX('Project Plan'!$B$2:$B$201,MATCH($O142,'Project Plan'!$V$2:$V$201,0)))</f>
        <v/>
      </c>
      <c r="C142" s="45" t="str">
        <f>IF($O142="","",INDEX('Project Plan'!$C$2:$C$201,MATCH($O142,'Project Plan'!$V$2:$V$201,0)))</f>
        <v/>
      </c>
      <c r="D142" s="45" t="str">
        <f>IF($O142="","",INDEX('Project Plan'!$D$2:$D$201,MATCH($O142,'Project Plan'!$V$2:$V$201,0)))</f>
        <v/>
      </c>
      <c r="E142" s="45" t="str">
        <f>IF($O142="","",INDEX('Project Plan'!$G$2:$G$201,MATCH($O142,'Project Plan'!$V$2:$V$201,0)))</f>
        <v/>
      </c>
      <c r="F142" s="46" t="str">
        <f>IF($O142="","",INDEX('Project Plan'!$I$2:$I$201,MATCH($O142,'Project Plan'!$V$2:$V$201,0)))</f>
        <v/>
      </c>
      <c r="G142" s="46" t="str">
        <f>IF($O142="","",INDEX('Project Plan'!$J$2:$J$201,MATCH($O142,'Project Plan'!$V$2:$V$201,0)))</f>
        <v/>
      </c>
      <c r="H142" s="46" t="str">
        <f>IF($O142="","",INDEX('Project Plan'!$M$2:$M$201,MATCH($O142,'Project Plan'!$V$2:$V$201,0)))</f>
        <v/>
      </c>
      <c r="I142" s="45" t="str">
        <f>IF($O142="","",INDEX('Project Plan'!$N$2:$N$201,MATCH($O142,'Project Plan'!$V$2:$V$201,0)))</f>
        <v/>
      </c>
      <c r="J142" s="47" t="str">
        <f>IF($O142="","",INDEX('Project Plan'!$O$2:$O$201,MATCH($O142,'Project Plan'!$V$2:$V$201,0)))</f>
        <v/>
      </c>
      <c r="K142" s="46" t="str">
        <f>IF($O142="","",INDEX('Project Plan'!$R$2:$R$201,MATCH($O142,'Project Plan'!$V$2:$V$201,0)))</f>
        <v/>
      </c>
      <c r="L142" s="38" t="str">
        <f>IF($O142="","",INDEX('Project Plan'!$S$2:$S$201,MATCH($O142,'Project Plan'!$V$2:$V$201,0)))</f>
        <v/>
      </c>
      <c r="M142" s="38" t="str">
        <f>IF($O142="","",INDEX('Project Plan'!$T$2:$T$201,MATCH($O142,'Project Plan'!$V$2:$V$201,0)))</f>
        <v/>
      </c>
      <c r="N142" s="94" t="str">
        <f>IF($O142="","",INDEX('Project Plan'!$U$2:$U$201,MATCH($O142,'Project Plan'!$V$2:$V$201,0)))</f>
        <v/>
      </c>
      <c r="O142" s="45" t="str">
        <f>IF(ROW()-1&lt;=MAX('Project Plan'!$V$2:$V$201),ROW()-1,"")</f>
        <v/>
      </c>
    </row>
    <row r="143" spans="1:15" ht="13.9" customHeight="1" x14ac:dyDescent="0.25">
      <c r="A143" s="93" t="str">
        <f>IF($O143="","",INDEX('Project Plan'!$A$2:$A$201,MATCH($O143,'Project Plan'!$V$2:$V$201,0)))</f>
        <v/>
      </c>
      <c r="B143" s="45" t="str">
        <f>IF($O143="","",INDEX('Project Plan'!$B$2:$B$201,MATCH($O143,'Project Plan'!$V$2:$V$201,0)))</f>
        <v/>
      </c>
      <c r="C143" s="45" t="str">
        <f>IF($O143="","",INDEX('Project Plan'!$C$2:$C$201,MATCH($O143,'Project Plan'!$V$2:$V$201,0)))</f>
        <v/>
      </c>
      <c r="D143" s="45" t="str">
        <f>IF($O143="","",INDEX('Project Plan'!$D$2:$D$201,MATCH($O143,'Project Plan'!$V$2:$V$201,0)))</f>
        <v/>
      </c>
      <c r="E143" s="45" t="str">
        <f>IF($O143="","",INDEX('Project Plan'!$G$2:$G$201,MATCH($O143,'Project Plan'!$V$2:$V$201,0)))</f>
        <v/>
      </c>
      <c r="F143" s="46" t="str">
        <f>IF($O143="","",INDEX('Project Plan'!$I$2:$I$201,MATCH($O143,'Project Plan'!$V$2:$V$201,0)))</f>
        <v/>
      </c>
      <c r="G143" s="46" t="str">
        <f>IF($O143="","",INDEX('Project Plan'!$J$2:$J$201,MATCH($O143,'Project Plan'!$V$2:$V$201,0)))</f>
        <v/>
      </c>
      <c r="H143" s="46" t="str">
        <f>IF($O143="","",INDEX('Project Plan'!$M$2:$M$201,MATCH($O143,'Project Plan'!$V$2:$V$201,0)))</f>
        <v/>
      </c>
      <c r="I143" s="45" t="str">
        <f>IF($O143="","",INDEX('Project Plan'!$N$2:$N$201,MATCH($O143,'Project Plan'!$V$2:$V$201,0)))</f>
        <v/>
      </c>
      <c r="J143" s="47" t="str">
        <f>IF($O143="","",INDEX('Project Plan'!$O$2:$O$201,MATCH($O143,'Project Plan'!$V$2:$V$201,0)))</f>
        <v/>
      </c>
      <c r="K143" s="46" t="str">
        <f>IF($O143="","",INDEX('Project Plan'!$R$2:$R$201,MATCH($O143,'Project Plan'!$V$2:$V$201,0)))</f>
        <v/>
      </c>
      <c r="L143" s="38" t="str">
        <f>IF($O143="","",INDEX('Project Plan'!$S$2:$S$201,MATCH($O143,'Project Plan'!$V$2:$V$201,0)))</f>
        <v/>
      </c>
      <c r="M143" s="38" t="str">
        <f>IF($O143="","",INDEX('Project Plan'!$T$2:$T$201,MATCH($O143,'Project Plan'!$V$2:$V$201,0)))</f>
        <v/>
      </c>
      <c r="N143" s="94" t="str">
        <f>IF($O143="","",INDEX('Project Plan'!$U$2:$U$201,MATCH($O143,'Project Plan'!$V$2:$V$201,0)))</f>
        <v/>
      </c>
      <c r="O143" s="45" t="str">
        <f>IF(ROW()-1&lt;=MAX('Project Plan'!$V$2:$V$201),ROW()-1,"")</f>
        <v/>
      </c>
    </row>
    <row r="144" spans="1:15" ht="13.9" customHeight="1" x14ac:dyDescent="0.25">
      <c r="A144" s="93" t="str">
        <f>IF($O144="","",INDEX('Project Plan'!$A$2:$A$201,MATCH($O144,'Project Plan'!$V$2:$V$201,0)))</f>
        <v/>
      </c>
      <c r="B144" s="45" t="str">
        <f>IF($O144="","",INDEX('Project Plan'!$B$2:$B$201,MATCH($O144,'Project Plan'!$V$2:$V$201,0)))</f>
        <v/>
      </c>
      <c r="C144" s="45" t="str">
        <f>IF($O144="","",INDEX('Project Plan'!$C$2:$C$201,MATCH($O144,'Project Plan'!$V$2:$V$201,0)))</f>
        <v/>
      </c>
      <c r="D144" s="45" t="str">
        <f>IF($O144="","",INDEX('Project Plan'!$D$2:$D$201,MATCH($O144,'Project Plan'!$V$2:$V$201,0)))</f>
        <v/>
      </c>
      <c r="E144" s="45" t="str">
        <f>IF($O144="","",INDEX('Project Plan'!$G$2:$G$201,MATCH($O144,'Project Plan'!$V$2:$V$201,0)))</f>
        <v/>
      </c>
      <c r="F144" s="46" t="str">
        <f>IF($O144="","",INDEX('Project Plan'!$I$2:$I$201,MATCH($O144,'Project Plan'!$V$2:$V$201,0)))</f>
        <v/>
      </c>
      <c r="G144" s="46" t="str">
        <f>IF($O144="","",INDEX('Project Plan'!$J$2:$J$201,MATCH($O144,'Project Plan'!$V$2:$V$201,0)))</f>
        <v/>
      </c>
      <c r="H144" s="46" t="str">
        <f>IF($O144="","",INDEX('Project Plan'!$M$2:$M$201,MATCH($O144,'Project Plan'!$V$2:$V$201,0)))</f>
        <v/>
      </c>
      <c r="I144" s="45" t="str">
        <f>IF($O144="","",INDEX('Project Plan'!$N$2:$N$201,MATCH($O144,'Project Plan'!$V$2:$V$201,0)))</f>
        <v/>
      </c>
      <c r="J144" s="47" t="str">
        <f>IF($O144="","",INDEX('Project Plan'!$O$2:$O$201,MATCH($O144,'Project Plan'!$V$2:$V$201,0)))</f>
        <v/>
      </c>
      <c r="K144" s="46" t="str">
        <f>IF($O144="","",INDEX('Project Plan'!$R$2:$R$201,MATCH($O144,'Project Plan'!$V$2:$V$201,0)))</f>
        <v/>
      </c>
      <c r="L144" s="38" t="str">
        <f>IF($O144="","",INDEX('Project Plan'!$S$2:$S$201,MATCH($O144,'Project Plan'!$V$2:$V$201,0)))</f>
        <v/>
      </c>
      <c r="M144" s="38" t="str">
        <f>IF($O144="","",INDEX('Project Plan'!$T$2:$T$201,MATCH($O144,'Project Plan'!$V$2:$V$201,0)))</f>
        <v/>
      </c>
      <c r="N144" s="94" t="str">
        <f>IF($O144="","",INDEX('Project Plan'!$U$2:$U$201,MATCH($O144,'Project Plan'!$V$2:$V$201,0)))</f>
        <v/>
      </c>
      <c r="O144" s="45" t="str">
        <f>IF(ROW()-1&lt;=MAX('Project Plan'!$V$2:$V$201),ROW()-1,"")</f>
        <v/>
      </c>
    </row>
    <row r="145" spans="1:15" ht="13.9" customHeight="1" x14ac:dyDescent="0.25">
      <c r="A145" s="93" t="str">
        <f>IF($O145="","",INDEX('Project Plan'!$A$2:$A$201,MATCH($O145,'Project Plan'!$V$2:$V$201,0)))</f>
        <v/>
      </c>
      <c r="B145" s="45" t="str">
        <f>IF($O145="","",INDEX('Project Plan'!$B$2:$B$201,MATCH($O145,'Project Plan'!$V$2:$V$201,0)))</f>
        <v/>
      </c>
      <c r="C145" s="45" t="str">
        <f>IF($O145="","",INDEX('Project Plan'!$C$2:$C$201,MATCH($O145,'Project Plan'!$V$2:$V$201,0)))</f>
        <v/>
      </c>
      <c r="D145" s="45" t="str">
        <f>IF($O145="","",INDEX('Project Plan'!$D$2:$D$201,MATCH($O145,'Project Plan'!$V$2:$V$201,0)))</f>
        <v/>
      </c>
      <c r="E145" s="45" t="str">
        <f>IF($O145="","",INDEX('Project Plan'!$G$2:$G$201,MATCH($O145,'Project Plan'!$V$2:$V$201,0)))</f>
        <v/>
      </c>
      <c r="F145" s="46" t="str">
        <f>IF($O145="","",INDEX('Project Plan'!$I$2:$I$201,MATCH($O145,'Project Plan'!$V$2:$V$201,0)))</f>
        <v/>
      </c>
      <c r="G145" s="46" t="str">
        <f>IF($O145="","",INDEX('Project Plan'!$J$2:$J$201,MATCH($O145,'Project Plan'!$V$2:$V$201,0)))</f>
        <v/>
      </c>
      <c r="H145" s="46" t="str">
        <f>IF($O145="","",INDEX('Project Plan'!$M$2:$M$201,MATCH($O145,'Project Plan'!$V$2:$V$201,0)))</f>
        <v/>
      </c>
      <c r="I145" s="45" t="str">
        <f>IF($O145="","",INDEX('Project Plan'!$N$2:$N$201,MATCH($O145,'Project Plan'!$V$2:$V$201,0)))</f>
        <v/>
      </c>
      <c r="J145" s="47" t="str">
        <f>IF($O145="","",INDEX('Project Plan'!$O$2:$O$201,MATCH($O145,'Project Plan'!$V$2:$V$201,0)))</f>
        <v/>
      </c>
      <c r="K145" s="46" t="str">
        <f>IF($O145="","",INDEX('Project Plan'!$R$2:$R$201,MATCH($O145,'Project Plan'!$V$2:$V$201,0)))</f>
        <v/>
      </c>
      <c r="L145" s="38" t="str">
        <f>IF($O145="","",INDEX('Project Plan'!$S$2:$S$201,MATCH($O145,'Project Plan'!$V$2:$V$201,0)))</f>
        <v/>
      </c>
      <c r="M145" s="38" t="str">
        <f>IF($O145="","",INDEX('Project Plan'!$T$2:$T$201,MATCH($O145,'Project Plan'!$V$2:$V$201,0)))</f>
        <v/>
      </c>
      <c r="N145" s="94" t="str">
        <f>IF($O145="","",INDEX('Project Plan'!$U$2:$U$201,MATCH($O145,'Project Plan'!$V$2:$V$201,0)))</f>
        <v/>
      </c>
      <c r="O145" s="45" t="str">
        <f>IF(ROW()-1&lt;=MAX('Project Plan'!$V$2:$V$201),ROW()-1,"")</f>
        <v/>
      </c>
    </row>
    <row r="146" spans="1:15" ht="13.9" customHeight="1" x14ac:dyDescent="0.25">
      <c r="A146" s="93" t="str">
        <f>IF($O146="","",INDEX('Project Plan'!$A$2:$A$201,MATCH($O146,'Project Plan'!$V$2:$V$201,0)))</f>
        <v/>
      </c>
      <c r="B146" s="45" t="str">
        <f>IF($O146="","",INDEX('Project Plan'!$B$2:$B$201,MATCH($O146,'Project Plan'!$V$2:$V$201,0)))</f>
        <v/>
      </c>
      <c r="C146" s="45" t="str">
        <f>IF($O146="","",INDEX('Project Plan'!$C$2:$C$201,MATCH($O146,'Project Plan'!$V$2:$V$201,0)))</f>
        <v/>
      </c>
      <c r="D146" s="45" t="str">
        <f>IF($O146="","",INDEX('Project Plan'!$D$2:$D$201,MATCH($O146,'Project Plan'!$V$2:$V$201,0)))</f>
        <v/>
      </c>
      <c r="E146" s="45" t="str">
        <f>IF($O146="","",INDEX('Project Plan'!$G$2:$G$201,MATCH($O146,'Project Plan'!$V$2:$V$201,0)))</f>
        <v/>
      </c>
      <c r="F146" s="46" t="str">
        <f>IF($O146="","",INDEX('Project Plan'!$I$2:$I$201,MATCH($O146,'Project Plan'!$V$2:$V$201,0)))</f>
        <v/>
      </c>
      <c r="G146" s="46" t="str">
        <f>IF($O146="","",INDEX('Project Plan'!$J$2:$J$201,MATCH($O146,'Project Plan'!$V$2:$V$201,0)))</f>
        <v/>
      </c>
      <c r="H146" s="46" t="str">
        <f>IF($O146="","",INDEX('Project Plan'!$M$2:$M$201,MATCH($O146,'Project Plan'!$V$2:$V$201,0)))</f>
        <v/>
      </c>
      <c r="I146" s="45" t="str">
        <f>IF($O146="","",INDEX('Project Plan'!$N$2:$N$201,MATCH($O146,'Project Plan'!$V$2:$V$201,0)))</f>
        <v/>
      </c>
      <c r="J146" s="47" t="str">
        <f>IF($O146="","",INDEX('Project Plan'!$O$2:$O$201,MATCH($O146,'Project Plan'!$V$2:$V$201,0)))</f>
        <v/>
      </c>
      <c r="K146" s="46" t="str">
        <f>IF($O146="","",INDEX('Project Plan'!$R$2:$R$201,MATCH($O146,'Project Plan'!$V$2:$V$201,0)))</f>
        <v/>
      </c>
      <c r="L146" s="38" t="str">
        <f>IF($O146="","",INDEX('Project Plan'!$S$2:$S$201,MATCH($O146,'Project Plan'!$V$2:$V$201,0)))</f>
        <v/>
      </c>
      <c r="M146" s="38" t="str">
        <f>IF($O146="","",INDEX('Project Plan'!$T$2:$T$201,MATCH($O146,'Project Plan'!$V$2:$V$201,0)))</f>
        <v/>
      </c>
      <c r="N146" s="94" t="str">
        <f>IF($O146="","",INDEX('Project Plan'!$U$2:$U$201,MATCH($O146,'Project Plan'!$V$2:$V$201,0)))</f>
        <v/>
      </c>
      <c r="O146" s="45" t="str">
        <f>IF(ROW()-1&lt;=MAX('Project Plan'!$V$2:$V$201),ROW()-1,"")</f>
        <v/>
      </c>
    </row>
    <row r="147" spans="1:15" ht="13.9" customHeight="1" x14ac:dyDescent="0.25">
      <c r="A147" s="93" t="str">
        <f>IF($O147="","",INDEX('Project Plan'!$A$2:$A$201,MATCH($O147,'Project Plan'!$V$2:$V$201,0)))</f>
        <v/>
      </c>
      <c r="B147" s="45" t="str">
        <f>IF($O147="","",INDEX('Project Plan'!$B$2:$B$201,MATCH($O147,'Project Plan'!$V$2:$V$201,0)))</f>
        <v/>
      </c>
      <c r="C147" s="45" t="str">
        <f>IF($O147="","",INDEX('Project Plan'!$C$2:$C$201,MATCH($O147,'Project Plan'!$V$2:$V$201,0)))</f>
        <v/>
      </c>
      <c r="D147" s="45" t="str">
        <f>IF($O147="","",INDEX('Project Plan'!$D$2:$D$201,MATCH($O147,'Project Plan'!$V$2:$V$201,0)))</f>
        <v/>
      </c>
      <c r="E147" s="45" t="str">
        <f>IF($O147="","",INDEX('Project Plan'!$G$2:$G$201,MATCH($O147,'Project Plan'!$V$2:$V$201,0)))</f>
        <v/>
      </c>
      <c r="F147" s="46" t="str">
        <f>IF($O147="","",INDEX('Project Plan'!$I$2:$I$201,MATCH($O147,'Project Plan'!$V$2:$V$201,0)))</f>
        <v/>
      </c>
      <c r="G147" s="46" t="str">
        <f>IF($O147="","",INDEX('Project Plan'!$J$2:$J$201,MATCH($O147,'Project Plan'!$V$2:$V$201,0)))</f>
        <v/>
      </c>
      <c r="H147" s="46" t="str">
        <f>IF($O147="","",INDEX('Project Plan'!$M$2:$M$201,MATCH($O147,'Project Plan'!$V$2:$V$201,0)))</f>
        <v/>
      </c>
      <c r="I147" s="45" t="str">
        <f>IF($O147="","",INDEX('Project Plan'!$N$2:$N$201,MATCH($O147,'Project Plan'!$V$2:$V$201,0)))</f>
        <v/>
      </c>
      <c r="J147" s="47" t="str">
        <f>IF($O147="","",INDEX('Project Plan'!$O$2:$O$201,MATCH($O147,'Project Plan'!$V$2:$V$201,0)))</f>
        <v/>
      </c>
      <c r="K147" s="46" t="str">
        <f>IF($O147="","",INDEX('Project Plan'!$R$2:$R$201,MATCH($O147,'Project Plan'!$V$2:$V$201,0)))</f>
        <v/>
      </c>
      <c r="L147" s="38" t="str">
        <f>IF($O147="","",INDEX('Project Plan'!$S$2:$S$201,MATCH($O147,'Project Plan'!$V$2:$V$201,0)))</f>
        <v/>
      </c>
      <c r="M147" s="38" t="str">
        <f>IF($O147="","",INDEX('Project Plan'!$T$2:$T$201,MATCH($O147,'Project Plan'!$V$2:$V$201,0)))</f>
        <v/>
      </c>
      <c r="N147" s="94" t="str">
        <f>IF($O147="","",INDEX('Project Plan'!$U$2:$U$201,MATCH($O147,'Project Plan'!$V$2:$V$201,0)))</f>
        <v/>
      </c>
      <c r="O147" s="45" t="str">
        <f>IF(ROW()-1&lt;=MAX('Project Plan'!$V$2:$V$201),ROW()-1,"")</f>
        <v/>
      </c>
    </row>
    <row r="148" spans="1:15" ht="13.9" customHeight="1" x14ac:dyDescent="0.25">
      <c r="A148" s="93" t="str">
        <f>IF($O148="","",INDEX('Project Plan'!$A$2:$A$201,MATCH($O148,'Project Plan'!$V$2:$V$201,0)))</f>
        <v/>
      </c>
      <c r="B148" s="45" t="str">
        <f>IF($O148="","",INDEX('Project Plan'!$B$2:$B$201,MATCH($O148,'Project Plan'!$V$2:$V$201,0)))</f>
        <v/>
      </c>
      <c r="C148" s="45" t="str">
        <f>IF($O148="","",INDEX('Project Plan'!$C$2:$C$201,MATCH($O148,'Project Plan'!$V$2:$V$201,0)))</f>
        <v/>
      </c>
      <c r="D148" s="45" t="str">
        <f>IF($O148="","",INDEX('Project Plan'!$D$2:$D$201,MATCH($O148,'Project Plan'!$V$2:$V$201,0)))</f>
        <v/>
      </c>
      <c r="E148" s="45" t="str">
        <f>IF($O148="","",INDEX('Project Plan'!$G$2:$G$201,MATCH($O148,'Project Plan'!$V$2:$V$201,0)))</f>
        <v/>
      </c>
      <c r="F148" s="46" t="str">
        <f>IF($O148="","",INDEX('Project Plan'!$I$2:$I$201,MATCH($O148,'Project Plan'!$V$2:$V$201,0)))</f>
        <v/>
      </c>
      <c r="G148" s="46" t="str">
        <f>IF($O148="","",INDEX('Project Plan'!$J$2:$J$201,MATCH($O148,'Project Plan'!$V$2:$V$201,0)))</f>
        <v/>
      </c>
      <c r="H148" s="46" t="str">
        <f>IF($O148="","",INDEX('Project Plan'!$M$2:$M$201,MATCH($O148,'Project Plan'!$V$2:$V$201,0)))</f>
        <v/>
      </c>
      <c r="I148" s="45" t="str">
        <f>IF($O148="","",INDEX('Project Plan'!$N$2:$N$201,MATCH($O148,'Project Plan'!$V$2:$V$201,0)))</f>
        <v/>
      </c>
      <c r="J148" s="47" t="str">
        <f>IF($O148="","",INDEX('Project Plan'!$O$2:$O$201,MATCH($O148,'Project Plan'!$V$2:$V$201,0)))</f>
        <v/>
      </c>
      <c r="K148" s="46" t="str">
        <f>IF($O148="","",INDEX('Project Plan'!$R$2:$R$201,MATCH($O148,'Project Plan'!$V$2:$V$201,0)))</f>
        <v/>
      </c>
      <c r="L148" s="38" t="str">
        <f>IF($O148="","",INDEX('Project Plan'!$S$2:$S$201,MATCH($O148,'Project Plan'!$V$2:$V$201,0)))</f>
        <v/>
      </c>
      <c r="M148" s="38" t="str">
        <f>IF($O148="","",INDEX('Project Plan'!$T$2:$T$201,MATCH($O148,'Project Plan'!$V$2:$V$201,0)))</f>
        <v/>
      </c>
      <c r="N148" s="94" t="str">
        <f>IF($O148="","",INDEX('Project Plan'!$U$2:$U$201,MATCH($O148,'Project Plan'!$V$2:$V$201,0)))</f>
        <v/>
      </c>
      <c r="O148" s="45" t="str">
        <f>IF(ROW()-1&lt;=MAX('Project Plan'!$V$2:$V$201),ROW()-1,"")</f>
        <v/>
      </c>
    </row>
    <row r="149" spans="1:15" ht="13.9" customHeight="1" x14ac:dyDescent="0.25">
      <c r="A149" s="93" t="str">
        <f>IF($O149="","",INDEX('Project Plan'!$A$2:$A$201,MATCH($O149,'Project Plan'!$V$2:$V$201,0)))</f>
        <v/>
      </c>
      <c r="B149" s="45" t="str">
        <f>IF($O149="","",INDEX('Project Plan'!$B$2:$B$201,MATCH($O149,'Project Plan'!$V$2:$V$201,0)))</f>
        <v/>
      </c>
      <c r="C149" s="45" t="str">
        <f>IF($O149="","",INDEX('Project Plan'!$C$2:$C$201,MATCH($O149,'Project Plan'!$V$2:$V$201,0)))</f>
        <v/>
      </c>
      <c r="D149" s="45" t="str">
        <f>IF($O149="","",INDEX('Project Plan'!$D$2:$D$201,MATCH($O149,'Project Plan'!$V$2:$V$201,0)))</f>
        <v/>
      </c>
      <c r="E149" s="45" t="str">
        <f>IF($O149="","",INDEX('Project Plan'!$G$2:$G$201,MATCH($O149,'Project Plan'!$V$2:$V$201,0)))</f>
        <v/>
      </c>
      <c r="F149" s="46" t="str">
        <f>IF($O149="","",INDEX('Project Plan'!$I$2:$I$201,MATCH($O149,'Project Plan'!$V$2:$V$201,0)))</f>
        <v/>
      </c>
      <c r="G149" s="46" t="str">
        <f>IF($O149="","",INDEX('Project Plan'!$J$2:$J$201,MATCH($O149,'Project Plan'!$V$2:$V$201,0)))</f>
        <v/>
      </c>
      <c r="H149" s="46" t="str">
        <f>IF($O149="","",INDEX('Project Plan'!$M$2:$M$201,MATCH($O149,'Project Plan'!$V$2:$V$201,0)))</f>
        <v/>
      </c>
      <c r="I149" s="45" t="str">
        <f>IF($O149="","",INDEX('Project Plan'!$N$2:$N$201,MATCH($O149,'Project Plan'!$V$2:$V$201,0)))</f>
        <v/>
      </c>
      <c r="J149" s="47" t="str">
        <f>IF($O149="","",INDEX('Project Plan'!$O$2:$O$201,MATCH($O149,'Project Plan'!$V$2:$V$201,0)))</f>
        <v/>
      </c>
      <c r="K149" s="46" t="str">
        <f>IF($O149="","",INDEX('Project Plan'!$R$2:$R$201,MATCH($O149,'Project Plan'!$V$2:$V$201,0)))</f>
        <v/>
      </c>
      <c r="L149" s="38" t="str">
        <f>IF($O149="","",INDEX('Project Plan'!$S$2:$S$201,MATCH($O149,'Project Plan'!$V$2:$V$201,0)))</f>
        <v/>
      </c>
      <c r="M149" s="38" t="str">
        <f>IF($O149="","",INDEX('Project Plan'!$T$2:$T$201,MATCH($O149,'Project Plan'!$V$2:$V$201,0)))</f>
        <v/>
      </c>
      <c r="N149" s="94" t="str">
        <f>IF($O149="","",INDEX('Project Plan'!$U$2:$U$201,MATCH($O149,'Project Plan'!$V$2:$V$201,0)))</f>
        <v/>
      </c>
      <c r="O149" s="45" t="str">
        <f>IF(ROW()-1&lt;=MAX('Project Plan'!$V$2:$V$201),ROW()-1,"")</f>
        <v/>
      </c>
    </row>
    <row r="150" spans="1:15" ht="13.9" customHeight="1" x14ac:dyDescent="0.25">
      <c r="A150" s="93" t="str">
        <f>IF($O150="","",INDEX('Project Plan'!$A$2:$A$201,MATCH($O150,'Project Plan'!$V$2:$V$201,0)))</f>
        <v/>
      </c>
      <c r="B150" s="45" t="str">
        <f>IF($O150="","",INDEX('Project Plan'!$B$2:$B$201,MATCH($O150,'Project Plan'!$V$2:$V$201,0)))</f>
        <v/>
      </c>
      <c r="C150" s="45" t="str">
        <f>IF($O150="","",INDEX('Project Plan'!$C$2:$C$201,MATCH($O150,'Project Plan'!$V$2:$V$201,0)))</f>
        <v/>
      </c>
      <c r="D150" s="45" t="str">
        <f>IF($O150="","",INDEX('Project Plan'!$D$2:$D$201,MATCH($O150,'Project Plan'!$V$2:$V$201,0)))</f>
        <v/>
      </c>
      <c r="E150" s="45" t="str">
        <f>IF($O150="","",INDEX('Project Plan'!$G$2:$G$201,MATCH($O150,'Project Plan'!$V$2:$V$201,0)))</f>
        <v/>
      </c>
      <c r="F150" s="46" t="str">
        <f>IF($O150="","",INDEX('Project Plan'!$I$2:$I$201,MATCH($O150,'Project Plan'!$V$2:$V$201,0)))</f>
        <v/>
      </c>
      <c r="G150" s="46" t="str">
        <f>IF($O150="","",INDEX('Project Plan'!$J$2:$J$201,MATCH($O150,'Project Plan'!$V$2:$V$201,0)))</f>
        <v/>
      </c>
      <c r="H150" s="46" t="str">
        <f>IF($O150="","",INDEX('Project Plan'!$M$2:$M$201,MATCH($O150,'Project Plan'!$V$2:$V$201,0)))</f>
        <v/>
      </c>
      <c r="I150" s="45" t="str">
        <f>IF($O150="","",INDEX('Project Plan'!$N$2:$N$201,MATCH($O150,'Project Plan'!$V$2:$V$201,0)))</f>
        <v/>
      </c>
      <c r="J150" s="47" t="str">
        <f>IF($O150="","",INDEX('Project Plan'!$O$2:$O$201,MATCH($O150,'Project Plan'!$V$2:$V$201,0)))</f>
        <v/>
      </c>
      <c r="K150" s="46" t="str">
        <f>IF($O150="","",INDEX('Project Plan'!$R$2:$R$201,MATCH($O150,'Project Plan'!$V$2:$V$201,0)))</f>
        <v/>
      </c>
      <c r="L150" s="38" t="str">
        <f>IF($O150="","",INDEX('Project Plan'!$S$2:$S$201,MATCH($O150,'Project Plan'!$V$2:$V$201,0)))</f>
        <v/>
      </c>
      <c r="M150" s="38" t="str">
        <f>IF($O150="","",INDEX('Project Plan'!$T$2:$T$201,MATCH($O150,'Project Plan'!$V$2:$V$201,0)))</f>
        <v/>
      </c>
      <c r="N150" s="94" t="str">
        <f>IF($O150="","",INDEX('Project Plan'!$U$2:$U$201,MATCH($O150,'Project Plan'!$V$2:$V$201,0)))</f>
        <v/>
      </c>
      <c r="O150" s="45" t="str">
        <f>IF(ROW()-1&lt;=MAX('Project Plan'!$V$2:$V$201),ROW()-1,"")</f>
        <v/>
      </c>
    </row>
    <row r="151" spans="1:15" ht="13.9" customHeight="1" x14ac:dyDescent="0.25">
      <c r="A151" s="93" t="str">
        <f>IF($O151="","",INDEX('Project Plan'!$A$2:$A$201,MATCH($O151,'Project Plan'!$V$2:$V$201,0)))</f>
        <v/>
      </c>
      <c r="B151" s="45" t="str">
        <f>IF($O151="","",INDEX('Project Plan'!$B$2:$B$201,MATCH($O151,'Project Plan'!$V$2:$V$201,0)))</f>
        <v/>
      </c>
      <c r="C151" s="45" t="str">
        <f>IF($O151="","",INDEX('Project Plan'!$C$2:$C$201,MATCH($O151,'Project Plan'!$V$2:$V$201,0)))</f>
        <v/>
      </c>
      <c r="D151" s="45" t="str">
        <f>IF($O151="","",INDEX('Project Plan'!$D$2:$D$201,MATCH($O151,'Project Plan'!$V$2:$V$201,0)))</f>
        <v/>
      </c>
      <c r="E151" s="45" t="str">
        <f>IF($O151="","",INDEX('Project Plan'!$G$2:$G$201,MATCH($O151,'Project Plan'!$V$2:$V$201,0)))</f>
        <v/>
      </c>
      <c r="F151" s="46" t="str">
        <f>IF($O151="","",INDEX('Project Plan'!$I$2:$I$201,MATCH($O151,'Project Plan'!$V$2:$V$201,0)))</f>
        <v/>
      </c>
      <c r="G151" s="46" t="str">
        <f>IF($O151="","",INDEX('Project Plan'!$J$2:$J$201,MATCH($O151,'Project Plan'!$V$2:$V$201,0)))</f>
        <v/>
      </c>
      <c r="H151" s="46" t="str">
        <f>IF($O151="","",INDEX('Project Plan'!$M$2:$M$201,MATCH($O151,'Project Plan'!$V$2:$V$201,0)))</f>
        <v/>
      </c>
      <c r="I151" s="45" t="str">
        <f>IF($O151="","",INDEX('Project Plan'!$N$2:$N$201,MATCH($O151,'Project Plan'!$V$2:$V$201,0)))</f>
        <v/>
      </c>
      <c r="J151" s="47" t="str">
        <f>IF($O151="","",INDEX('Project Plan'!$O$2:$O$201,MATCH($O151,'Project Plan'!$V$2:$V$201,0)))</f>
        <v/>
      </c>
      <c r="K151" s="46" t="str">
        <f>IF($O151="","",INDEX('Project Plan'!$R$2:$R$201,MATCH($O151,'Project Plan'!$V$2:$V$201,0)))</f>
        <v/>
      </c>
      <c r="L151" s="38" t="str">
        <f>IF($O151="","",INDEX('Project Plan'!$S$2:$S$201,MATCH($O151,'Project Plan'!$V$2:$V$201,0)))</f>
        <v/>
      </c>
      <c r="M151" s="38" t="str">
        <f>IF($O151="","",INDEX('Project Plan'!$T$2:$T$201,MATCH($O151,'Project Plan'!$V$2:$V$201,0)))</f>
        <v/>
      </c>
      <c r="N151" s="94" t="str">
        <f>IF($O151="","",INDEX('Project Plan'!$U$2:$U$201,MATCH($O151,'Project Plan'!$V$2:$V$201,0)))</f>
        <v/>
      </c>
      <c r="O151" s="45" t="str">
        <f>IF(ROW()-1&lt;=MAX('Project Plan'!$V$2:$V$201),ROW()-1,"")</f>
        <v/>
      </c>
    </row>
    <row r="152" spans="1:15" ht="13.9" customHeight="1" x14ac:dyDescent="0.25">
      <c r="A152" s="93" t="str">
        <f>IF($O152="","",INDEX('Project Plan'!$A$2:$A$201,MATCH($O152,'Project Plan'!$V$2:$V$201,0)))</f>
        <v/>
      </c>
      <c r="B152" s="45" t="str">
        <f>IF($O152="","",INDEX('Project Plan'!$B$2:$B$201,MATCH($O152,'Project Plan'!$V$2:$V$201,0)))</f>
        <v/>
      </c>
      <c r="C152" s="45" t="str">
        <f>IF($O152="","",INDEX('Project Plan'!$C$2:$C$201,MATCH($O152,'Project Plan'!$V$2:$V$201,0)))</f>
        <v/>
      </c>
      <c r="D152" s="45" t="str">
        <f>IF($O152="","",INDEX('Project Plan'!$D$2:$D$201,MATCH($O152,'Project Plan'!$V$2:$V$201,0)))</f>
        <v/>
      </c>
      <c r="E152" s="45" t="str">
        <f>IF($O152="","",INDEX('Project Plan'!$G$2:$G$201,MATCH($O152,'Project Plan'!$V$2:$V$201,0)))</f>
        <v/>
      </c>
      <c r="F152" s="46" t="str">
        <f>IF($O152="","",INDEX('Project Plan'!$I$2:$I$201,MATCH($O152,'Project Plan'!$V$2:$V$201,0)))</f>
        <v/>
      </c>
      <c r="G152" s="46" t="str">
        <f>IF($O152="","",INDEX('Project Plan'!$J$2:$J$201,MATCH($O152,'Project Plan'!$V$2:$V$201,0)))</f>
        <v/>
      </c>
      <c r="H152" s="46" t="str">
        <f>IF($O152="","",INDEX('Project Plan'!$M$2:$M$201,MATCH($O152,'Project Plan'!$V$2:$V$201,0)))</f>
        <v/>
      </c>
      <c r="I152" s="45" t="str">
        <f>IF($O152="","",INDEX('Project Plan'!$N$2:$N$201,MATCH($O152,'Project Plan'!$V$2:$V$201,0)))</f>
        <v/>
      </c>
      <c r="J152" s="47" t="str">
        <f>IF($O152="","",INDEX('Project Plan'!$O$2:$O$201,MATCH($O152,'Project Plan'!$V$2:$V$201,0)))</f>
        <v/>
      </c>
      <c r="K152" s="46" t="str">
        <f>IF($O152="","",INDEX('Project Plan'!$R$2:$R$201,MATCH($O152,'Project Plan'!$V$2:$V$201,0)))</f>
        <v/>
      </c>
      <c r="L152" s="38" t="str">
        <f>IF($O152="","",INDEX('Project Plan'!$S$2:$S$201,MATCH($O152,'Project Plan'!$V$2:$V$201,0)))</f>
        <v/>
      </c>
      <c r="M152" s="38" t="str">
        <f>IF($O152="","",INDEX('Project Plan'!$T$2:$T$201,MATCH($O152,'Project Plan'!$V$2:$V$201,0)))</f>
        <v/>
      </c>
      <c r="N152" s="94" t="str">
        <f>IF($O152="","",INDEX('Project Plan'!$U$2:$U$201,MATCH($O152,'Project Plan'!$V$2:$V$201,0)))</f>
        <v/>
      </c>
      <c r="O152" s="45" t="str">
        <f>IF(ROW()-1&lt;=MAX('Project Plan'!$V$2:$V$201),ROW()-1,"")</f>
        <v/>
      </c>
    </row>
    <row r="153" spans="1:15" ht="13.9" customHeight="1" x14ac:dyDescent="0.25">
      <c r="A153" s="93" t="str">
        <f>IF($O153="","",INDEX('Project Plan'!$A$2:$A$201,MATCH($O153,'Project Plan'!$V$2:$V$201,0)))</f>
        <v/>
      </c>
      <c r="B153" s="45" t="str">
        <f>IF($O153="","",INDEX('Project Plan'!$B$2:$B$201,MATCH($O153,'Project Plan'!$V$2:$V$201,0)))</f>
        <v/>
      </c>
      <c r="C153" s="45" t="str">
        <f>IF($O153="","",INDEX('Project Plan'!$C$2:$C$201,MATCH($O153,'Project Plan'!$V$2:$V$201,0)))</f>
        <v/>
      </c>
      <c r="D153" s="45" t="str">
        <f>IF($O153="","",INDEX('Project Plan'!$D$2:$D$201,MATCH($O153,'Project Plan'!$V$2:$V$201,0)))</f>
        <v/>
      </c>
      <c r="E153" s="45" t="str">
        <f>IF($O153="","",INDEX('Project Plan'!$G$2:$G$201,MATCH($O153,'Project Plan'!$V$2:$V$201,0)))</f>
        <v/>
      </c>
      <c r="F153" s="46" t="str">
        <f>IF($O153="","",INDEX('Project Plan'!$I$2:$I$201,MATCH($O153,'Project Plan'!$V$2:$V$201,0)))</f>
        <v/>
      </c>
      <c r="G153" s="46" t="str">
        <f>IF($O153="","",INDEX('Project Plan'!$J$2:$J$201,MATCH($O153,'Project Plan'!$V$2:$V$201,0)))</f>
        <v/>
      </c>
      <c r="H153" s="46" t="str">
        <f>IF($O153="","",INDEX('Project Plan'!$M$2:$M$201,MATCH($O153,'Project Plan'!$V$2:$V$201,0)))</f>
        <v/>
      </c>
      <c r="I153" s="45" t="str">
        <f>IF($O153="","",INDEX('Project Plan'!$N$2:$N$201,MATCH($O153,'Project Plan'!$V$2:$V$201,0)))</f>
        <v/>
      </c>
      <c r="J153" s="47" t="str">
        <f>IF($O153="","",INDEX('Project Plan'!$O$2:$O$201,MATCH($O153,'Project Plan'!$V$2:$V$201,0)))</f>
        <v/>
      </c>
      <c r="K153" s="46" t="str">
        <f>IF($O153="","",INDEX('Project Plan'!$R$2:$R$201,MATCH($O153,'Project Plan'!$V$2:$V$201,0)))</f>
        <v/>
      </c>
      <c r="L153" s="38" t="str">
        <f>IF($O153="","",INDEX('Project Plan'!$S$2:$S$201,MATCH($O153,'Project Plan'!$V$2:$V$201,0)))</f>
        <v/>
      </c>
      <c r="M153" s="38" t="str">
        <f>IF($O153="","",INDEX('Project Plan'!$T$2:$T$201,MATCH($O153,'Project Plan'!$V$2:$V$201,0)))</f>
        <v/>
      </c>
      <c r="N153" s="94" t="str">
        <f>IF($O153="","",INDEX('Project Plan'!$U$2:$U$201,MATCH($O153,'Project Plan'!$V$2:$V$201,0)))</f>
        <v/>
      </c>
      <c r="O153" s="45" t="str">
        <f>IF(ROW()-1&lt;=MAX('Project Plan'!$V$2:$V$201),ROW()-1,"")</f>
        <v/>
      </c>
    </row>
    <row r="154" spans="1:15" ht="13.9" customHeight="1" x14ac:dyDescent="0.25">
      <c r="A154" s="93" t="str">
        <f>IF($O154="","",INDEX('Project Plan'!$A$2:$A$201,MATCH($O154,'Project Plan'!$V$2:$V$201,0)))</f>
        <v/>
      </c>
      <c r="B154" s="45" t="str">
        <f>IF($O154="","",INDEX('Project Plan'!$B$2:$B$201,MATCH($O154,'Project Plan'!$V$2:$V$201,0)))</f>
        <v/>
      </c>
      <c r="C154" s="45" t="str">
        <f>IF($O154="","",INDEX('Project Plan'!$C$2:$C$201,MATCH($O154,'Project Plan'!$V$2:$V$201,0)))</f>
        <v/>
      </c>
      <c r="D154" s="45" t="str">
        <f>IF($O154="","",INDEX('Project Plan'!$D$2:$D$201,MATCH($O154,'Project Plan'!$V$2:$V$201,0)))</f>
        <v/>
      </c>
      <c r="E154" s="45" t="str">
        <f>IF($O154="","",INDEX('Project Plan'!$G$2:$G$201,MATCH($O154,'Project Plan'!$V$2:$V$201,0)))</f>
        <v/>
      </c>
      <c r="F154" s="46" t="str">
        <f>IF($O154="","",INDEX('Project Plan'!$I$2:$I$201,MATCH($O154,'Project Plan'!$V$2:$V$201,0)))</f>
        <v/>
      </c>
      <c r="G154" s="46" t="str">
        <f>IF($O154="","",INDEX('Project Plan'!$J$2:$J$201,MATCH($O154,'Project Plan'!$V$2:$V$201,0)))</f>
        <v/>
      </c>
      <c r="H154" s="46" t="str">
        <f>IF($O154="","",INDEX('Project Plan'!$M$2:$M$201,MATCH($O154,'Project Plan'!$V$2:$V$201,0)))</f>
        <v/>
      </c>
      <c r="I154" s="45" t="str">
        <f>IF($O154="","",INDEX('Project Plan'!$N$2:$N$201,MATCH($O154,'Project Plan'!$V$2:$V$201,0)))</f>
        <v/>
      </c>
      <c r="J154" s="47" t="str">
        <f>IF($O154="","",INDEX('Project Plan'!$O$2:$O$201,MATCH($O154,'Project Plan'!$V$2:$V$201,0)))</f>
        <v/>
      </c>
      <c r="K154" s="46" t="str">
        <f>IF($O154="","",INDEX('Project Plan'!$R$2:$R$201,MATCH($O154,'Project Plan'!$V$2:$V$201,0)))</f>
        <v/>
      </c>
      <c r="L154" s="38" t="str">
        <f>IF($O154="","",INDEX('Project Plan'!$S$2:$S$201,MATCH($O154,'Project Plan'!$V$2:$V$201,0)))</f>
        <v/>
      </c>
      <c r="M154" s="38" t="str">
        <f>IF($O154="","",INDEX('Project Plan'!$T$2:$T$201,MATCH($O154,'Project Plan'!$V$2:$V$201,0)))</f>
        <v/>
      </c>
      <c r="N154" s="94" t="str">
        <f>IF($O154="","",INDEX('Project Plan'!$U$2:$U$201,MATCH($O154,'Project Plan'!$V$2:$V$201,0)))</f>
        <v/>
      </c>
      <c r="O154" s="45" t="str">
        <f>IF(ROW()-1&lt;=MAX('Project Plan'!$V$2:$V$201),ROW()-1,"")</f>
        <v/>
      </c>
    </row>
    <row r="155" spans="1:15" ht="13.9" customHeight="1" x14ac:dyDescent="0.25">
      <c r="A155" s="93" t="str">
        <f>IF($O155="","",INDEX('Project Plan'!$A$2:$A$201,MATCH($O155,'Project Plan'!$V$2:$V$201,0)))</f>
        <v/>
      </c>
      <c r="B155" s="45" t="str">
        <f>IF($O155="","",INDEX('Project Plan'!$B$2:$B$201,MATCH($O155,'Project Plan'!$V$2:$V$201,0)))</f>
        <v/>
      </c>
      <c r="C155" s="45" t="str">
        <f>IF($O155="","",INDEX('Project Plan'!$C$2:$C$201,MATCH($O155,'Project Plan'!$V$2:$V$201,0)))</f>
        <v/>
      </c>
      <c r="D155" s="45" t="str">
        <f>IF($O155="","",INDEX('Project Plan'!$D$2:$D$201,MATCH($O155,'Project Plan'!$V$2:$V$201,0)))</f>
        <v/>
      </c>
      <c r="E155" s="45" t="str">
        <f>IF($O155="","",INDEX('Project Plan'!$G$2:$G$201,MATCH($O155,'Project Plan'!$V$2:$V$201,0)))</f>
        <v/>
      </c>
      <c r="F155" s="46" t="str">
        <f>IF($O155="","",INDEX('Project Plan'!$I$2:$I$201,MATCH($O155,'Project Plan'!$V$2:$V$201,0)))</f>
        <v/>
      </c>
      <c r="G155" s="46" t="str">
        <f>IF($O155="","",INDEX('Project Plan'!$J$2:$J$201,MATCH($O155,'Project Plan'!$V$2:$V$201,0)))</f>
        <v/>
      </c>
      <c r="H155" s="46" t="str">
        <f>IF($O155="","",INDEX('Project Plan'!$M$2:$M$201,MATCH($O155,'Project Plan'!$V$2:$V$201,0)))</f>
        <v/>
      </c>
      <c r="I155" s="45" t="str">
        <f>IF($O155="","",INDEX('Project Plan'!$N$2:$N$201,MATCH($O155,'Project Plan'!$V$2:$V$201,0)))</f>
        <v/>
      </c>
      <c r="J155" s="47" t="str">
        <f>IF($O155="","",INDEX('Project Plan'!$O$2:$O$201,MATCH($O155,'Project Plan'!$V$2:$V$201,0)))</f>
        <v/>
      </c>
      <c r="K155" s="46" t="str">
        <f>IF($O155="","",INDEX('Project Plan'!$R$2:$R$201,MATCH($O155,'Project Plan'!$V$2:$V$201,0)))</f>
        <v/>
      </c>
      <c r="L155" s="38" t="str">
        <f>IF($O155="","",INDEX('Project Plan'!$S$2:$S$201,MATCH($O155,'Project Plan'!$V$2:$V$201,0)))</f>
        <v/>
      </c>
      <c r="M155" s="38" t="str">
        <f>IF($O155="","",INDEX('Project Plan'!$T$2:$T$201,MATCH($O155,'Project Plan'!$V$2:$V$201,0)))</f>
        <v/>
      </c>
      <c r="N155" s="94" t="str">
        <f>IF($O155="","",INDEX('Project Plan'!$U$2:$U$201,MATCH($O155,'Project Plan'!$V$2:$V$201,0)))</f>
        <v/>
      </c>
      <c r="O155" s="45" t="str">
        <f>IF(ROW()-1&lt;=MAX('Project Plan'!$V$2:$V$201),ROW()-1,"")</f>
        <v/>
      </c>
    </row>
    <row r="156" spans="1:15" ht="13.9" customHeight="1" x14ac:dyDescent="0.25">
      <c r="A156" s="93" t="str">
        <f>IF($O156="","",INDEX('Project Plan'!$A$2:$A$201,MATCH($O156,'Project Plan'!$V$2:$V$201,0)))</f>
        <v/>
      </c>
      <c r="B156" s="45" t="str">
        <f>IF($O156="","",INDEX('Project Plan'!$B$2:$B$201,MATCH($O156,'Project Plan'!$V$2:$V$201,0)))</f>
        <v/>
      </c>
      <c r="C156" s="45" t="str">
        <f>IF($O156="","",INDEX('Project Plan'!$C$2:$C$201,MATCH($O156,'Project Plan'!$V$2:$V$201,0)))</f>
        <v/>
      </c>
      <c r="D156" s="45" t="str">
        <f>IF($O156="","",INDEX('Project Plan'!$D$2:$D$201,MATCH($O156,'Project Plan'!$V$2:$V$201,0)))</f>
        <v/>
      </c>
      <c r="E156" s="45" t="str">
        <f>IF($O156="","",INDEX('Project Plan'!$G$2:$G$201,MATCH($O156,'Project Plan'!$V$2:$V$201,0)))</f>
        <v/>
      </c>
      <c r="F156" s="46" t="str">
        <f>IF($O156="","",INDEX('Project Plan'!$I$2:$I$201,MATCH($O156,'Project Plan'!$V$2:$V$201,0)))</f>
        <v/>
      </c>
      <c r="G156" s="46" t="str">
        <f>IF($O156="","",INDEX('Project Plan'!$J$2:$J$201,MATCH($O156,'Project Plan'!$V$2:$V$201,0)))</f>
        <v/>
      </c>
      <c r="H156" s="46" t="str">
        <f>IF($O156="","",INDEX('Project Plan'!$M$2:$M$201,MATCH($O156,'Project Plan'!$V$2:$V$201,0)))</f>
        <v/>
      </c>
      <c r="I156" s="45" t="str">
        <f>IF($O156="","",INDEX('Project Plan'!$N$2:$N$201,MATCH($O156,'Project Plan'!$V$2:$V$201,0)))</f>
        <v/>
      </c>
      <c r="J156" s="47" t="str">
        <f>IF($O156="","",INDEX('Project Plan'!$O$2:$O$201,MATCH($O156,'Project Plan'!$V$2:$V$201,0)))</f>
        <v/>
      </c>
      <c r="K156" s="46" t="str">
        <f>IF($O156="","",INDEX('Project Plan'!$R$2:$R$201,MATCH($O156,'Project Plan'!$V$2:$V$201,0)))</f>
        <v/>
      </c>
      <c r="L156" s="38" t="str">
        <f>IF($O156="","",INDEX('Project Plan'!$S$2:$S$201,MATCH($O156,'Project Plan'!$V$2:$V$201,0)))</f>
        <v/>
      </c>
      <c r="M156" s="38" t="str">
        <f>IF($O156="","",INDEX('Project Plan'!$T$2:$T$201,MATCH($O156,'Project Plan'!$V$2:$V$201,0)))</f>
        <v/>
      </c>
      <c r="N156" s="94" t="str">
        <f>IF($O156="","",INDEX('Project Plan'!$U$2:$U$201,MATCH($O156,'Project Plan'!$V$2:$V$201,0)))</f>
        <v/>
      </c>
      <c r="O156" s="45" t="str">
        <f>IF(ROW()-1&lt;=MAX('Project Plan'!$V$2:$V$201),ROW()-1,"")</f>
        <v/>
      </c>
    </row>
    <row r="157" spans="1:15" ht="13.9" customHeight="1" x14ac:dyDescent="0.25">
      <c r="A157" s="93" t="str">
        <f>IF($O157="","",INDEX('Project Plan'!$A$2:$A$201,MATCH($O157,'Project Plan'!$V$2:$V$201,0)))</f>
        <v/>
      </c>
      <c r="B157" s="45" t="str">
        <f>IF($O157="","",INDEX('Project Plan'!$B$2:$B$201,MATCH($O157,'Project Plan'!$V$2:$V$201,0)))</f>
        <v/>
      </c>
      <c r="C157" s="45" t="str">
        <f>IF($O157="","",INDEX('Project Plan'!$C$2:$C$201,MATCH($O157,'Project Plan'!$V$2:$V$201,0)))</f>
        <v/>
      </c>
      <c r="D157" s="45" t="str">
        <f>IF($O157="","",INDEX('Project Plan'!$D$2:$D$201,MATCH($O157,'Project Plan'!$V$2:$V$201,0)))</f>
        <v/>
      </c>
      <c r="E157" s="45" t="str">
        <f>IF($O157="","",INDEX('Project Plan'!$G$2:$G$201,MATCH($O157,'Project Plan'!$V$2:$V$201,0)))</f>
        <v/>
      </c>
      <c r="F157" s="46" t="str">
        <f>IF($O157="","",INDEX('Project Plan'!$I$2:$I$201,MATCH($O157,'Project Plan'!$V$2:$V$201,0)))</f>
        <v/>
      </c>
      <c r="G157" s="46" t="str">
        <f>IF($O157="","",INDEX('Project Plan'!$J$2:$J$201,MATCH($O157,'Project Plan'!$V$2:$V$201,0)))</f>
        <v/>
      </c>
      <c r="H157" s="46" t="str">
        <f>IF($O157="","",INDEX('Project Plan'!$M$2:$M$201,MATCH($O157,'Project Plan'!$V$2:$V$201,0)))</f>
        <v/>
      </c>
      <c r="I157" s="45" t="str">
        <f>IF($O157="","",INDEX('Project Plan'!$N$2:$N$201,MATCH($O157,'Project Plan'!$V$2:$V$201,0)))</f>
        <v/>
      </c>
      <c r="J157" s="47" t="str">
        <f>IF($O157="","",INDEX('Project Plan'!$O$2:$O$201,MATCH($O157,'Project Plan'!$V$2:$V$201,0)))</f>
        <v/>
      </c>
      <c r="K157" s="46" t="str">
        <f>IF($O157="","",INDEX('Project Plan'!$R$2:$R$201,MATCH($O157,'Project Plan'!$V$2:$V$201,0)))</f>
        <v/>
      </c>
      <c r="L157" s="38" t="str">
        <f>IF($O157="","",INDEX('Project Plan'!$S$2:$S$201,MATCH($O157,'Project Plan'!$V$2:$V$201,0)))</f>
        <v/>
      </c>
      <c r="M157" s="38" t="str">
        <f>IF($O157="","",INDEX('Project Plan'!$T$2:$T$201,MATCH($O157,'Project Plan'!$V$2:$V$201,0)))</f>
        <v/>
      </c>
      <c r="N157" s="94" t="str">
        <f>IF($O157="","",INDEX('Project Plan'!$U$2:$U$201,MATCH($O157,'Project Plan'!$V$2:$V$201,0)))</f>
        <v/>
      </c>
      <c r="O157" s="45" t="str">
        <f>IF(ROW()-1&lt;=MAX('Project Plan'!$V$2:$V$201),ROW()-1,"")</f>
        <v/>
      </c>
    </row>
    <row r="158" spans="1:15" ht="13.9" customHeight="1" x14ac:dyDescent="0.25">
      <c r="A158" s="93" t="str">
        <f>IF($O158="","",INDEX('Project Plan'!$A$2:$A$201,MATCH($O158,'Project Plan'!$V$2:$V$201,0)))</f>
        <v/>
      </c>
      <c r="B158" s="45" t="str">
        <f>IF($O158="","",INDEX('Project Plan'!$B$2:$B$201,MATCH($O158,'Project Plan'!$V$2:$V$201,0)))</f>
        <v/>
      </c>
      <c r="C158" s="45" t="str">
        <f>IF($O158="","",INDEX('Project Plan'!$C$2:$C$201,MATCH($O158,'Project Plan'!$V$2:$V$201,0)))</f>
        <v/>
      </c>
      <c r="D158" s="45" t="str">
        <f>IF($O158="","",INDEX('Project Plan'!$D$2:$D$201,MATCH($O158,'Project Plan'!$V$2:$V$201,0)))</f>
        <v/>
      </c>
      <c r="E158" s="45" t="str">
        <f>IF($O158="","",INDEX('Project Plan'!$G$2:$G$201,MATCH($O158,'Project Plan'!$V$2:$V$201,0)))</f>
        <v/>
      </c>
      <c r="F158" s="46" t="str">
        <f>IF($O158="","",INDEX('Project Plan'!$I$2:$I$201,MATCH($O158,'Project Plan'!$V$2:$V$201,0)))</f>
        <v/>
      </c>
      <c r="G158" s="46" t="str">
        <f>IF($O158="","",INDEX('Project Plan'!$J$2:$J$201,MATCH($O158,'Project Plan'!$V$2:$V$201,0)))</f>
        <v/>
      </c>
      <c r="H158" s="46" t="str">
        <f>IF($O158="","",INDEX('Project Plan'!$M$2:$M$201,MATCH($O158,'Project Plan'!$V$2:$V$201,0)))</f>
        <v/>
      </c>
      <c r="I158" s="45" t="str">
        <f>IF($O158="","",INDEX('Project Plan'!$N$2:$N$201,MATCH($O158,'Project Plan'!$V$2:$V$201,0)))</f>
        <v/>
      </c>
      <c r="J158" s="47" t="str">
        <f>IF($O158="","",INDEX('Project Plan'!$O$2:$O$201,MATCH($O158,'Project Plan'!$V$2:$V$201,0)))</f>
        <v/>
      </c>
      <c r="K158" s="46" t="str">
        <f>IF($O158="","",INDEX('Project Plan'!$R$2:$R$201,MATCH($O158,'Project Plan'!$V$2:$V$201,0)))</f>
        <v/>
      </c>
      <c r="L158" s="38" t="str">
        <f>IF($O158="","",INDEX('Project Plan'!$S$2:$S$201,MATCH($O158,'Project Plan'!$V$2:$V$201,0)))</f>
        <v/>
      </c>
      <c r="M158" s="38" t="str">
        <f>IF($O158="","",INDEX('Project Plan'!$T$2:$T$201,MATCH($O158,'Project Plan'!$V$2:$V$201,0)))</f>
        <v/>
      </c>
      <c r="N158" s="94" t="str">
        <f>IF($O158="","",INDEX('Project Plan'!$U$2:$U$201,MATCH($O158,'Project Plan'!$V$2:$V$201,0)))</f>
        <v/>
      </c>
      <c r="O158" s="45" t="str">
        <f>IF(ROW()-1&lt;=MAX('Project Plan'!$V$2:$V$201),ROW()-1,"")</f>
        <v/>
      </c>
    </row>
    <row r="159" spans="1:15" ht="13.9" customHeight="1" x14ac:dyDescent="0.25">
      <c r="A159" s="93" t="str">
        <f>IF($O159="","",INDEX('Project Plan'!$A$2:$A$201,MATCH($O159,'Project Plan'!$V$2:$V$201,0)))</f>
        <v/>
      </c>
      <c r="B159" s="45" t="str">
        <f>IF($O159="","",INDEX('Project Plan'!$B$2:$B$201,MATCH($O159,'Project Plan'!$V$2:$V$201,0)))</f>
        <v/>
      </c>
      <c r="C159" s="45" t="str">
        <f>IF($O159="","",INDEX('Project Plan'!$C$2:$C$201,MATCH($O159,'Project Plan'!$V$2:$V$201,0)))</f>
        <v/>
      </c>
      <c r="D159" s="45" t="str">
        <f>IF($O159="","",INDEX('Project Plan'!$D$2:$D$201,MATCH($O159,'Project Plan'!$V$2:$V$201,0)))</f>
        <v/>
      </c>
      <c r="E159" s="45" t="str">
        <f>IF($O159="","",INDEX('Project Plan'!$G$2:$G$201,MATCH($O159,'Project Plan'!$V$2:$V$201,0)))</f>
        <v/>
      </c>
      <c r="F159" s="46" t="str">
        <f>IF($O159="","",INDEX('Project Plan'!$I$2:$I$201,MATCH($O159,'Project Plan'!$V$2:$V$201,0)))</f>
        <v/>
      </c>
      <c r="G159" s="46" t="str">
        <f>IF($O159="","",INDEX('Project Plan'!$J$2:$J$201,MATCH($O159,'Project Plan'!$V$2:$V$201,0)))</f>
        <v/>
      </c>
      <c r="H159" s="46" t="str">
        <f>IF($O159="","",INDEX('Project Plan'!$M$2:$M$201,MATCH($O159,'Project Plan'!$V$2:$V$201,0)))</f>
        <v/>
      </c>
      <c r="I159" s="45" t="str">
        <f>IF($O159="","",INDEX('Project Plan'!$N$2:$N$201,MATCH($O159,'Project Plan'!$V$2:$V$201,0)))</f>
        <v/>
      </c>
      <c r="J159" s="47" t="str">
        <f>IF($O159="","",INDEX('Project Plan'!$O$2:$O$201,MATCH($O159,'Project Plan'!$V$2:$V$201,0)))</f>
        <v/>
      </c>
      <c r="K159" s="46" t="str">
        <f>IF($O159="","",INDEX('Project Plan'!$R$2:$R$201,MATCH($O159,'Project Plan'!$V$2:$V$201,0)))</f>
        <v/>
      </c>
      <c r="L159" s="38" t="str">
        <f>IF($O159="","",INDEX('Project Plan'!$S$2:$S$201,MATCH($O159,'Project Plan'!$V$2:$V$201,0)))</f>
        <v/>
      </c>
      <c r="M159" s="38" t="str">
        <f>IF($O159="","",INDEX('Project Plan'!$T$2:$T$201,MATCH($O159,'Project Plan'!$V$2:$V$201,0)))</f>
        <v/>
      </c>
      <c r="N159" s="94" t="str">
        <f>IF($O159="","",INDEX('Project Plan'!$U$2:$U$201,MATCH($O159,'Project Plan'!$V$2:$V$201,0)))</f>
        <v/>
      </c>
      <c r="O159" s="45" t="str">
        <f>IF(ROW()-1&lt;=MAX('Project Plan'!$V$2:$V$201),ROW()-1,"")</f>
        <v/>
      </c>
    </row>
    <row r="160" spans="1:15" ht="13.9" customHeight="1" x14ac:dyDescent="0.25">
      <c r="A160" s="93" t="str">
        <f>IF($O160="","",INDEX('Project Plan'!$A$2:$A$201,MATCH($O160,'Project Plan'!$V$2:$V$201,0)))</f>
        <v/>
      </c>
      <c r="B160" s="45" t="str">
        <f>IF($O160="","",INDEX('Project Plan'!$B$2:$B$201,MATCH($O160,'Project Plan'!$V$2:$V$201,0)))</f>
        <v/>
      </c>
      <c r="C160" s="45" t="str">
        <f>IF($O160="","",INDEX('Project Plan'!$C$2:$C$201,MATCH($O160,'Project Plan'!$V$2:$V$201,0)))</f>
        <v/>
      </c>
      <c r="D160" s="45" t="str">
        <f>IF($O160="","",INDEX('Project Plan'!$D$2:$D$201,MATCH($O160,'Project Plan'!$V$2:$V$201,0)))</f>
        <v/>
      </c>
      <c r="E160" s="45" t="str">
        <f>IF($O160="","",INDEX('Project Plan'!$G$2:$G$201,MATCH($O160,'Project Plan'!$V$2:$V$201,0)))</f>
        <v/>
      </c>
      <c r="F160" s="46" t="str">
        <f>IF($O160="","",INDEX('Project Plan'!$I$2:$I$201,MATCH($O160,'Project Plan'!$V$2:$V$201,0)))</f>
        <v/>
      </c>
      <c r="G160" s="46" t="str">
        <f>IF($O160="","",INDEX('Project Plan'!$J$2:$J$201,MATCH($O160,'Project Plan'!$V$2:$V$201,0)))</f>
        <v/>
      </c>
      <c r="H160" s="46" t="str">
        <f>IF($O160="","",INDEX('Project Plan'!$M$2:$M$201,MATCH($O160,'Project Plan'!$V$2:$V$201,0)))</f>
        <v/>
      </c>
      <c r="I160" s="45" t="str">
        <f>IF($O160="","",INDEX('Project Plan'!$N$2:$N$201,MATCH($O160,'Project Plan'!$V$2:$V$201,0)))</f>
        <v/>
      </c>
      <c r="J160" s="47" t="str">
        <f>IF($O160="","",INDEX('Project Plan'!$O$2:$O$201,MATCH($O160,'Project Plan'!$V$2:$V$201,0)))</f>
        <v/>
      </c>
      <c r="K160" s="46" t="str">
        <f>IF($O160="","",INDEX('Project Plan'!$R$2:$R$201,MATCH($O160,'Project Plan'!$V$2:$V$201,0)))</f>
        <v/>
      </c>
      <c r="L160" s="38" t="str">
        <f>IF($O160="","",INDEX('Project Plan'!$S$2:$S$201,MATCH($O160,'Project Plan'!$V$2:$V$201,0)))</f>
        <v/>
      </c>
      <c r="M160" s="38" t="str">
        <f>IF($O160="","",INDEX('Project Plan'!$T$2:$T$201,MATCH($O160,'Project Plan'!$V$2:$V$201,0)))</f>
        <v/>
      </c>
      <c r="N160" s="94" t="str">
        <f>IF($O160="","",INDEX('Project Plan'!$U$2:$U$201,MATCH($O160,'Project Plan'!$V$2:$V$201,0)))</f>
        <v/>
      </c>
      <c r="O160" s="45" t="str">
        <f>IF(ROW()-1&lt;=MAX('Project Plan'!$V$2:$V$201),ROW()-1,"")</f>
        <v/>
      </c>
    </row>
    <row r="161" spans="1:15" ht="13.9" customHeight="1" x14ac:dyDescent="0.25">
      <c r="A161" s="93" t="str">
        <f>IF($O161="","",INDEX('Project Plan'!$A$2:$A$201,MATCH($O161,'Project Plan'!$V$2:$V$201,0)))</f>
        <v/>
      </c>
      <c r="B161" s="45" t="str">
        <f>IF($O161="","",INDEX('Project Plan'!$B$2:$B$201,MATCH($O161,'Project Plan'!$V$2:$V$201,0)))</f>
        <v/>
      </c>
      <c r="C161" s="45" t="str">
        <f>IF($O161="","",INDEX('Project Plan'!$C$2:$C$201,MATCH($O161,'Project Plan'!$V$2:$V$201,0)))</f>
        <v/>
      </c>
      <c r="D161" s="45" t="str">
        <f>IF($O161="","",INDEX('Project Plan'!$D$2:$D$201,MATCH($O161,'Project Plan'!$V$2:$V$201,0)))</f>
        <v/>
      </c>
      <c r="E161" s="45" t="str">
        <f>IF($O161="","",INDEX('Project Plan'!$G$2:$G$201,MATCH($O161,'Project Plan'!$V$2:$V$201,0)))</f>
        <v/>
      </c>
      <c r="F161" s="46" t="str">
        <f>IF($O161="","",INDEX('Project Plan'!$I$2:$I$201,MATCH($O161,'Project Plan'!$V$2:$V$201,0)))</f>
        <v/>
      </c>
      <c r="G161" s="46" t="str">
        <f>IF($O161="","",INDEX('Project Plan'!$J$2:$J$201,MATCH($O161,'Project Plan'!$V$2:$V$201,0)))</f>
        <v/>
      </c>
      <c r="H161" s="46" t="str">
        <f>IF($O161="","",INDEX('Project Plan'!$M$2:$M$201,MATCH($O161,'Project Plan'!$V$2:$V$201,0)))</f>
        <v/>
      </c>
      <c r="I161" s="45" t="str">
        <f>IF($O161="","",INDEX('Project Plan'!$N$2:$N$201,MATCH($O161,'Project Plan'!$V$2:$V$201,0)))</f>
        <v/>
      </c>
      <c r="J161" s="47" t="str">
        <f>IF($O161="","",INDEX('Project Plan'!$O$2:$O$201,MATCH($O161,'Project Plan'!$V$2:$V$201,0)))</f>
        <v/>
      </c>
      <c r="K161" s="46" t="str">
        <f>IF($O161="","",INDEX('Project Plan'!$R$2:$R$201,MATCH($O161,'Project Plan'!$V$2:$V$201,0)))</f>
        <v/>
      </c>
      <c r="L161" s="38" t="str">
        <f>IF($O161="","",INDEX('Project Plan'!$S$2:$S$201,MATCH($O161,'Project Plan'!$V$2:$V$201,0)))</f>
        <v/>
      </c>
      <c r="M161" s="38" t="str">
        <f>IF($O161="","",INDEX('Project Plan'!$T$2:$T$201,MATCH($O161,'Project Plan'!$V$2:$V$201,0)))</f>
        <v/>
      </c>
      <c r="N161" s="94" t="str">
        <f>IF($O161="","",INDEX('Project Plan'!$U$2:$U$201,MATCH($O161,'Project Plan'!$V$2:$V$201,0)))</f>
        <v/>
      </c>
      <c r="O161" s="45" t="str">
        <f>IF(ROW()-1&lt;=MAX('Project Plan'!$V$2:$V$201),ROW()-1,"")</f>
        <v/>
      </c>
    </row>
    <row r="162" spans="1:15" ht="13.9" customHeight="1" x14ac:dyDescent="0.25">
      <c r="A162" s="93" t="str">
        <f>IF($O162="","",INDEX('Project Plan'!$A$2:$A$201,MATCH($O162,'Project Plan'!$V$2:$V$201,0)))</f>
        <v/>
      </c>
      <c r="B162" s="45" t="str">
        <f>IF($O162="","",INDEX('Project Plan'!$B$2:$B$201,MATCH($O162,'Project Plan'!$V$2:$V$201,0)))</f>
        <v/>
      </c>
      <c r="C162" s="45" t="str">
        <f>IF($O162="","",INDEX('Project Plan'!$C$2:$C$201,MATCH($O162,'Project Plan'!$V$2:$V$201,0)))</f>
        <v/>
      </c>
      <c r="D162" s="45" t="str">
        <f>IF($O162="","",INDEX('Project Plan'!$D$2:$D$201,MATCH($O162,'Project Plan'!$V$2:$V$201,0)))</f>
        <v/>
      </c>
      <c r="E162" s="45" t="str">
        <f>IF($O162="","",INDEX('Project Plan'!$G$2:$G$201,MATCH($O162,'Project Plan'!$V$2:$V$201,0)))</f>
        <v/>
      </c>
      <c r="F162" s="46" t="str">
        <f>IF($O162="","",INDEX('Project Plan'!$I$2:$I$201,MATCH($O162,'Project Plan'!$V$2:$V$201,0)))</f>
        <v/>
      </c>
      <c r="G162" s="46" t="str">
        <f>IF($O162="","",INDEX('Project Plan'!$J$2:$J$201,MATCH($O162,'Project Plan'!$V$2:$V$201,0)))</f>
        <v/>
      </c>
      <c r="H162" s="46" t="str">
        <f>IF($O162="","",INDEX('Project Plan'!$M$2:$M$201,MATCH($O162,'Project Plan'!$V$2:$V$201,0)))</f>
        <v/>
      </c>
      <c r="I162" s="45" t="str">
        <f>IF($O162="","",INDEX('Project Plan'!$N$2:$N$201,MATCH($O162,'Project Plan'!$V$2:$V$201,0)))</f>
        <v/>
      </c>
      <c r="J162" s="47" t="str">
        <f>IF($O162="","",INDEX('Project Plan'!$O$2:$O$201,MATCH($O162,'Project Plan'!$V$2:$V$201,0)))</f>
        <v/>
      </c>
      <c r="K162" s="46" t="str">
        <f>IF($O162="","",INDEX('Project Plan'!$R$2:$R$201,MATCH($O162,'Project Plan'!$V$2:$V$201,0)))</f>
        <v/>
      </c>
      <c r="L162" s="38" t="str">
        <f>IF($O162="","",INDEX('Project Plan'!$S$2:$S$201,MATCH($O162,'Project Plan'!$V$2:$V$201,0)))</f>
        <v/>
      </c>
      <c r="M162" s="38" t="str">
        <f>IF($O162="","",INDEX('Project Plan'!$T$2:$T$201,MATCH($O162,'Project Plan'!$V$2:$V$201,0)))</f>
        <v/>
      </c>
      <c r="N162" s="94" t="str">
        <f>IF($O162="","",INDEX('Project Plan'!$U$2:$U$201,MATCH($O162,'Project Plan'!$V$2:$V$201,0)))</f>
        <v/>
      </c>
      <c r="O162" s="45" t="str">
        <f>IF(ROW()-1&lt;=MAX('Project Plan'!$V$2:$V$201),ROW()-1,"")</f>
        <v/>
      </c>
    </row>
    <row r="163" spans="1:15" ht="13.9" customHeight="1" x14ac:dyDescent="0.25">
      <c r="A163" s="93" t="str">
        <f>IF($O163="","",INDEX('Project Plan'!$A$2:$A$201,MATCH($O163,'Project Plan'!$V$2:$V$201,0)))</f>
        <v/>
      </c>
      <c r="B163" s="45" t="str">
        <f>IF($O163="","",INDEX('Project Plan'!$B$2:$B$201,MATCH($O163,'Project Plan'!$V$2:$V$201,0)))</f>
        <v/>
      </c>
      <c r="C163" s="45" t="str">
        <f>IF($O163="","",INDEX('Project Plan'!$C$2:$C$201,MATCH($O163,'Project Plan'!$V$2:$V$201,0)))</f>
        <v/>
      </c>
      <c r="D163" s="45" t="str">
        <f>IF($O163="","",INDEX('Project Plan'!$D$2:$D$201,MATCH($O163,'Project Plan'!$V$2:$V$201,0)))</f>
        <v/>
      </c>
      <c r="E163" s="45" t="str">
        <f>IF($O163="","",INDEX('Project Plan'!$G$2:$G$201,MATCH($O163,'Project Plan'!$V$2:$V$201,0)))</f>
        <v/>
      </c>
      <c r="F163" s="46" t="str">
        <f>IF($O163="","",INDEX('Project Plan'!$I$2:$I$201,MATCH($O163,'Project Plan'!$V$2:$V$201,0)))</f>
        <v/>
      </c>
      <c r="G163" s="46" t="str">
        <f>IF($O163="","",INDEX('Project Plan'!$J$2:$J$201,MATCH($O163,'Project Plan'!$V$2:$V$201,0)))</f>
        <v/>
      </c>
      <c r="H163" s="46" t="str">
        <f>IF($O163="","",INDEX('Project Plan'!$M$2:$M$201,MATCH($O163,'Project Plan'!$V$2:$V$201,0)))</f>
        <v/>
      </c>
      <c r="I163" s="45" t="str">
        <f>IF($O163="","",INDEX('Project Plan'!$N$2:$N$201,MATCH($O163,'Project Plan'!$V$2:$V$201,0)))</f>
        <v/>
      </c>
      <c r="J163" s="47" t="str">
        <f>IF($O163="","",INDEX('Project Plan'!$O$2:$O$201,MATCH($O163,'Project Plan'!$V$2:$V$201,0)))</f>
        <v/>
      </c>
      <c r="K163" s="46" t="str">
        <f>IF($O163="","",INDEX('Project Plan'!$R$2:$R$201,MATCH($O163,'Project Plan'!$V$2:$V$201,0)))</f>
        <v/>
      </c>
      <c r="L163" s="38" t="str">
        <f>IF($O163="","",INDEX('Project Plan'!$S$2:$S$201,MATCH($O163,'Project Plan'!$V$2:$V$201,0)))</f>
        <v/>
      </c>
      <c r="M163" s="38" t="str">
        <f>IF($O163="","",INDEX('Project Plan'!$T$2:$T$201,MATCH($O163,'Project Plan'!$V$2:$V$201,0)))</f>
        <v/>
      </c>
      <c r="N163" s="94" t="str">
        <f>IF($O163="","",INDEX('Project Plan'!$U$2:$U$201,MATCH($O163,'Project Plan'!$V$2:$V$201,0)))</f>
        <v/>
      </c>
      <c r="O163" s="45" t="str">
        <f>IF(ROW()-1&lt;=MAX('Project Plan'!$V$2:$V$201),ROW()-1,"")</f>
        <v/>
      </c>
    </row>
    <row r="164" spans="1:15" ht="13.9" customHeight="1" x14ac:dyDescent="0.25">
      <c r="A164" s="93" t="str">
        <f>IF($O164="","",INDEX('Project Plan'!$A$2:$A$201,MATCH($O164,'Project Plan'!$V$2:$V$201,0)))</f>
        <v/>
      </c>
      <c r="B164" s="45" t="str">
        <f>IF($O164="","",INDEX('Project Plan'!$B$2:$B$201,MATCH($O164,'Project Plan'!$V$2:$V$201,0)))</f>
        <v/>
      </c>
      <c r="C164" s="45" t="str">
        <f>IF($O164="","",INDEX('Project Plan'!$C$2:$C$201,MATCH($O164,'Project Plan'!$V$2:$V$201,0)))</f>
        <v/>
      </c>
      <c r="D164" s="45" t="str">
        <f>IF($O164="","",INDEX('Project Plan'!$D$2:$D$201,MATCH($O164,'Project Plan'!$V$2:$V$201,0)))</f>
        <v/>
      </c>
      <c r="E164" s="45" t="str">
        <f>IF($O164="","",INDEX('Project Plan'!$G$2:$G$201,MATCH($O164,'Project Plan'!$V$2:$V$201,0)))</f>
        <v/>
      </c>
      <c r="F164" s="46" t="str">
        <f>IF($O164="","",INDEX('Project Plan'!$I$2:$I$201,MATCH($O164,'Project Plan'!$V$2:$V$201,0)))</f>
        <v/>
      </c>
      <c r="G164" s="46" t="str">
        <f>IF($O164="","",INDEX('Project Plan'!$J$2:$J$201,MATCH($O164,'Project Plan'!$V$2:$V$201,0)))</f>
        <v/>
      </c>
      <c r="H164" s="46" t="str">
        <f>IF($O164="","",INDEX('Project Plan'!$M$2:$M$201,MATCH($O164,'Project Plan'!$V$2:$V$201,0)))</f>
        <v/>
      </c>
      <c r="I164" s="45" t="str">
        <f>IF($O164="","",INDEX('Project Plan'!$N$2:$N$201,MATCH($O164,'Project Plan'!$V$2:$V$201,0)))</f>
        <v/>
      </c>
      <c r="J164" s="47" t="str">
        <f>IF($O164="","",INDEX('Project Plan'!$O$2:$O$201,MATCH($O164,'Project Plan'!$V$2:$V$201,0)))</f>
        <v/>
      </c>
      <c r="K164" s="46" t="str">
        <f>IF($O164="","",INDEX('Project Plan'!$R$2:$R$201,MATCH($O164,'Project Plan'!$V$2:$V$201,0)))</f>
        <v/>
      </c>
      <c r="L164" s="38" t="str">
        <f>IF($O164="","",INDEX('Project Plan'!$S$2:$S$201,MATCH($O164,'Project Plan'!$V$2:$V$201,0)))</f>
        <v/>
      </c>
      <c r="M164" s="38" t="str">
        <f>IF($O164="","",INDEX('Project Plan'!$T$2:$T$201,MATCH($O164,'Project Plan'!$V$2:$V$201,0)))</f>
        <v/>
      </c>
      <c r="N164" s="94" t="str">
        <f>IF($O164="","",INDEX('Project Plan'!$U$2:$U$201,MATCH($O164,'Project Plan'!$V$2:$V$201,0)))</f>
        <v/>
      </c>
      <c r="O164" s="45" t="str">
        <f>IF(ROW()-1&lt;=MAX('Project Plan'!$V$2:$V$201),ROW()-1,"")</f>
        <v/>
      </c>
    </row>
    <row r="165" spans="1:15" ht="13.9" customHeight="1" x14ac:dyDescent="0.25">
      <c r="A165" s="93" t="str">
        <f>IF($O165="","",INDEX('Project Plan'!$A$2:$A$201,MATCH($O165,'Project Plan'!$V$2:$V$201,0)))</f>
        <v/>
      </c>
      <c r="B165" s="45" t="str">
        <f>IF($O165="","",INDEX('Project Plan'!$B$2:$B$201,MATCH($O165,'Project Plan'!$V$2:$V$201,0)))</f>
        <v/>
      </c>
      <c r="C165" s="45" t="str">
        <f>IF($O165="","",INDEX('Project Plan'!$C$2:$C$201,MATCH($O165,'Project Plan'!$V$2:$V$201,0)))</f>
        <v/>
      </c>
      <c r="D165" s="45" t="str">
        <f>IF($O165="","",INDEX('Project Plan'!$D$2:$D$201,MATCH($O165,'Project Plan'!$V$2:$V$201,0)))</f>
        <v/>
      </c>
      <c r="E165" s="45" t="str">
        <f>IF($O165="","",INDEX('Project Plan'!$G$2:$G$201,MATCH($O165,'Project Plan'!$V$2:$V$201,0)))</f>
        <v/>
      </c>
      <c r="F165" s="46" t="str">
        <f>IF($O165="","",INDEX('Project Plan'!$I$2:$I$201,MATCH($O165,'Project Plan'!$V$2:$V$201,0)))</f>
        <v/>
      </c>
      <c r="G165" s="46" t="str">
        <f>IF($O165="","",INDEX('Project Plan'!$J$2:$J$201,MATCH($O165,'Project Plan'!$V$2:$V$201,0)))</f>
        <v/>
      </c>
      <c r="H165" s="46" t="str">
        <f>IF($O165="","",INDEX('Project Plan'!$M$2:$M$201,MATCH($O165,'Project Plan'!$V$2:$V$201,0)))</f>
        <v/>
      </c>
      <c r="I165" s="45" t="str">
        <f>IF($O165="","",INDEX('Project Plan'!$N$2:$N$201,MATCH($O165,'Project Plan'!$V$2:$V$201,0)))</f>
        <v/>
      </c>
      <c r="J165" s="47" t="str">
        <f>IF($O165="","",INDEX('Project Plan'!$O$2:$O$201,MATCH($O165,'Project Plan'!$V$2:$V$201,0)))</f>
        <v/>
      </c>
      <c r="K165" s="46" t="str">
        <f>IF($O165="","",INDEX('Project Plan'!$R$2:$R$201,MATCH($O165,'Project Plan'!$V$2:$V$201,0)))</f>
        <v/>
      </c>
      <c r="L165" s="38" t="str">
        <f>IF($O165="","",INDEX('Project Plan'!$S$2:$S$201,MATCH($O165,'Project Plan'!$V$2:$V$201,0)))</f>
        <v/>
      </c>
      <c r="M165" s="38" t="str">
        <f>IF($O165="","",INDEX('Project Plan'!$T$2:$T$201,MATCH($O165,'Project Plan'!$V$2:$V$201,0)))</f>
        <v/>
      </c>
      <c r="N165" s="94" t="str">
        <f>IF($O165="","",INDEX('Project Plan'!$U$2:$U$201,MATCH($O165,'Project Plan'!$V$2:$V$201,0)))</f>
        <v/>
      </c>
      <c r="O165" s="45" t="str">
        <f>IF(ROW()-1&lt;=MAX('Project Plan'!$V$2:$V$201),ROW()-1,"")</f>
        <v/>
      </c>
    </row>
    <row r="166" spans="1:15" ht="13.9" customHeight="1" x14ac:dyDescent="0.25">
      <c r="A166" s="93" t="str">
        <f>IF($O166="","",INDEX('Project Plan'!$A$2:$A$201,MATCH($O166,'Project Plan'!$V$2:$V$201,0)))</f>
        <v/>
      </c>
      <c r="B166" s="45" t="str">
        <f>IF($O166="","",INDEX('Project Plan'!$B$2:$B$201,MATCH($O166,'Project Plan'!$V$2:$V$201,0)))</f>
        <v/>
      </c>
      <c r="C166" s="45" t="str">
        <f>IF($O166="","",INDEX('Project Plan'!$C$2:$C$201,MATCH($O166,'Project Plan'!$V$2:$V$201,0)))</f>
        <v/>
      </c>
      <c r="D166" s="45" t="str">
        <f>IF($O166="","",INDEX('Project Plan'!$D$2:$D$201,MATCH($O166,'Project Plan'!$V$2:$V$201,0)))</f>
        <v/>
      </c>
      <c r="E166" s="45" t="str">
        <f>IF($O166="","",INDEX('Project Plan'!$G$2:$G$201,MATCH($O166,'Project Plan'!$V$2:$V$201,0)))</f>
        <v/>
      </c>
      <c r="F166" s="46" t="str">
        <f>IF($O166="","",INDEX('Project Plan'!$I$2:$I$201,MATCH($O166,'Project Plan'!$V$2:$V$201,0)))</f>
        <v/>
      </c>
      <c r="G166" s="46" t="str">
        <f>IF($O166="","",INDEX('Project Plan'!$J$2:$J$201,MATCH($O166,'Project Plan'!$V$2:$V$201,0)))</f>
        <v/>
      </c>
      <c r="H166" s="46" t="str">
        <f>IF($O166="","",INDEX('Project Plan'!$M$2:$M$201,MATCH($O166,'Project Plan'!$V$2:$V$201,0)))</f>
        <v/>
      </c>
      <c r="I166" s="45" t="str">
        <f>IF($O166="","",INDEX('Project Plan'!$N$2:$N$201,MATCH($O166,'Project Plan'!$V$2:$V$201,0)))</f>
        <v/>
      </c>
      <c r="J166" s="47" t="str">
        <f>IF($O166="","",INDEX('Project Plan'!$O$2:$O$201,MATCH($O166,'Project Plan'!$V$2:$V$201,0)))</f>
        <v/>
      </c>
      <c r="K166" s="46" t="str">
        <f>IF($O166="","",INDEX('Project Plan'!$R$2:$R$201,MATCH($O166,'Project Plan'!$V$2:$V$201,0)))</f>
        <v/>
      </c>
      <c r="L166" s="38" t="str">
        <f>IF($O166="","",INDEX('Project Plan'!$S$2:$S$201,MATCH($O166,'Project Plan'!$V$2:$V$201,0)))</f>
        <v/>
      </c>
      <c r="M166" s="38" t="str">
        <f>IF($O166="","",INDEX('Project Plan'!$T$2:$T$201,MATCH($O166,'Project Plan'!$V$2:$V$201,0)))</f>
        <v/>
      </c>
      <c r="N166" s="94" t="str">
        <f>IF($O166="","",INDEX('Project Plan'!$U$2:$U$201,MATCH($O166,'Project Plan'!$V$2:$V$201,0)))</f>
        <v/>
      </c>
      <c r="O166" s="45" t="str">
        <f>IF(ROW()-1&lt;=MAX('Project Plan'!$V$2:$V$201),ROW()-1,"")</f>
        <v/>
      </c>
    </row>
    <row r="167" spans="1:15" ht="13.9" customHeight="1" x14ac:dyDescent="0.25">
      <c r="A167" s="93" t="str">
        <f>IF($O167="","",INDEX('Project Plan'!$A$2:$A$201,MATCH($O167,'Project Plan'!$V$2:$V$201,0)))</f>
        <v/>
      </c>
      <c r="B167" s="45" t="str">
        <f>IF($O167="","",INDEX('Project Plan'!$B$2:$B$201,MATCH($O167,'Project Plan'!$V$2:$V$201,0)))</f>
        <v/>
      </c>
      <c r="C167" s="45" t="str">
        <f>IF($O167="","",INDEX('Project Plan'!$C$2:$C$201,MATCH($O167,'Project Plan'!$V$2:$V$201,0)))</f>
        <v/>
      </c>
      <c r="D167" s="45" t="str">
        <f>IF($O167="","",INDEX('Project Plan'!$D$2:$D$201,MATCH($O167,'Project Plan'!$V$2:$V$201,0)))</f>
        <v/>
      </c>
      <c r="E167" s="45" t="str">
        <f>IF($O167="","",INDEX('Project Plan'!$G$2:$G$201,MATCH($O167,'Project Plan'!$V$2:$V$201,0)))</f>
        <v/>
      </c>
      <c r="F167" s="46" t="str">
        <f>IF($O167="","",INDEX('Project Plan'!$I$2:$I$201,MATCH($O167,'Project Plan'!$V$2:$V$201,0)))</f>
        <v/>
      </c>
      <c r="G167" s="46" t="str">
        <f>IF($O167="","",INDEX('Project Plan'!$J$2:$J$201,MATCH($O167,'Project Plan'!$V$2:$V$201,0)))</f>
        <v/>
      </c>
      <c r="H167" s="46" t="str">
        <f>IF($O167="","",INDEX('Project Plan'!$M$2:$M$201,MATCH($O167,'Project Plan'!$V$2:$V$201,0)))</f>
        <v/>
      </c>
      <c r="I167" s="45" t="str">
        <f>IF($O167="","",INDEX('Project Plan'!$N$2:$N$201,MATCH($O167,'Project Plan'!$V$2:$V$201,0)))</f>
        <v/>
      </c>
      <c r="J167" s="47" t="str">
        <f>IF($O167="","",INDEX('Project Plan'!$O$2:$O$201,MATCH($O167,'Project Plan'!$V$2:$V$201,0)))</f>
        <v/>
      </c>
      <c r="K167" s="46" t="str">
        <f>IF($O167="","",INDEX('Project Plan'!$R$2:$R$201,MATCH($O167,'Project Plan'!$V$2:$V$201,0)))</f>
        <v/>
      </c>
      <c r="L167" s="38" t="str">
        <f>IF($O167="","",INDEX('Project Plan'!$S$2:$S$201,MATCH($O167,'Project Plan'!$V$2:$V$201,0)))</f>
        <v/>
      </c>
      <c r="M167" s="38" t="str">
        <f>IF($O167="","",INDEX('Project Plan'!$T$2:$T$201,MATCH($O167,'Project Plan'!$V$2:$V$201,0)))</f>
        <v/>
      </c>
      <c r="N167" s="94" t="str">
        <f>IF($O167="","",INDEX('Project Plan'!$U$2:$U$201,MATCH($O167,'Project Plan'!$V$2:$V$201,0)))</f>
        <v/>
      </c>
      <c r="O167" s="45" t="str">
        <f>IF(ROW()-1&lt;=MAX('Project Plan'!$V$2:$V$201),ROW()-1,"")</f>
        <v/>
      </c>
    </row>
    <row r="168" spans="1:15" ht="13.9" customHeight="1" x14ac:dyDescent="0.25">
      <c r="A168" s="93" t="str">
        <f>IF($O168="","",INDEX('Project Plan'!$A$2:$A$201,MATCH($O168,'Project Plan'!$V$2:$V$201,0)))</f>
        <v/>
      </c>
      <c r="B168" s="45" t="str">
        <f>IF($O168="","",INDEX('Project Plan'!$B$2:$B$201,MATCH($O168,'Project Plan'!$V$2:$V$201,0)))</f>
        <v/>
      </c>
      <c r="C168" s="45" t="str">
        <f>IF($O168="","",INDEX('Project Plan'!$C$2:$C$201,MATCH($O168,'Project Plan'!$V$2:$V$201,0)))</f>
        <v/>
      </c>
      <c r="D168" s="45" t="str">
        <f>IF($O168="","",INDEX('Project Plan'!$D$2:$D$201,MATCH($O168,'Project Plan'!$V$2:$V$201,0)))</f>
        <v/>
      </c>
      <c r="E168" s="45" t="str">
        <f>IF($O168="","",INDEX('Project Plan'!$G$2:$G$201,MATCH($O168,'Project Plan'!$V$2:$V$201,0)))</f>
        <v/>
      </c>
      <c r="F168" s="46" t="str">
        <f>IF($O168="","",INDEX('Project Plan'!$I$2:$I$201,MATCH($O168,'Project Plan'!$V$2:$V$201,0)))</f>
        <v/>
      </c>
      <c r="G168" s="46" t="str">
        <f>IF($O168="","",INDEX('Project Plan'!$J$2:$J$201,MATCH($O168,'Project Plan'!$V$2:$V$201,0)))</f>
        <v/>
      </c>
      <c r="H168" s="46" t="str">
        <f>IF($O168="","",INDEX('Project Plan'!$M$2:$M$201,MATCH($O168,'Project Plan'!$V$2:$V$201,0)))</f>
        <v/>
      </c>
      <c r="I168" s="45" t="str">
        <f>IF($O168="","",INDEX('Project Plan'!$N$2:$N$201,MATCH($O168,'Project Plan'!$V$2:$V$201,0)))</f>
        <v/>
      </c>
      <c r="J168" s="47" t="str">
        <f>IF($O168="","",INDEX('Project Plan'!$O$2:$O$201,MATCH($O168,'Project Plan'!$V$2:$V$201,0)))</f>
        <v/>
      </c>
      <c r="K168" s="46" t="str">
        <f>IF($O168="","",INDEX('Project Plan'!$R$2:$R$201,MATCH($O168,'Project Plan'!$V$2:$V$201,0)))</f>
        <v/>
      </c>
      <c r="L168" s="38" t="str">
        <f>IF($O168="","",INDEX('Project Plan'!$S$2:$S$201,MATCH($O168,'Project Plan'!$V$2:$V$201,0)))</f>
        <v/>
      </c>
      <c r="M168" s="38" t="str">
        <f>IF($O168="","",INDEX('Project Plan'!$T$2:$T$201,MATCH($O168,'Project Plan'!$V$2:$V$201,0)))</f>
        <v/>
      </c>
      <c r="N168" s="94" t="str">
        <f>IF($O168="","",INDEX('Project Plan'!$U$2:$U$201,MATCH($O168,'Project Plan'!$V$2:$V$201,0)))</f>
        <v/>
      </c>
      <c r="O168" s="45" t="str">
        <f>IF(ROW()-1&lt;=MAX('Project Plan'!$V$2:$V$201),ROW()-1,"")</f>
        <v/>
      </c>
    </row>
    <row r="169" spans="1:15" ht="13.9" customHeight="1" x14ac:dyDescent="0.25">
      <c r="A169" s="93" t="str">
        <f>IF($O169="","",INDEX('Project Plan'!$A$2:$A$201,MATCH($O169,'Project Plan'!$V$2:$V$201,0)))</f>
        <v/>
      </c>
      <c r="B169" s="45" t="str">
        <f>IF($O169="","",INDEX('Project Plan'!$B$2:$B$201,MATCH($O169,'Project Plan'!$V$2:$V$201,0)))</f>
        <v/>
      </c>
      <c r="C169" s="45" t="str">
        <f>IF($O169="","",INDEX('Project Plan'!$C$2:$C$201,MATCH($O169,'Project Plan'!$V$2:$V$201,0)))</f>
        <v/>
      </c>
      <c r="D169" s="45" t="str">
        <f>IF($O169="","",INDEX('Project Plan'!$D$2:$D$201,MATCH($O169,'Project Plan'!$V$2:$V$201,0)))</f>
        <v/>
      </c>
      <c r="E169" s="45" t="str">
        <f>IF($O169="","",INDEX('Project Plan'!$G$2:$G$201,MATCH($O169,'Project Plan'!$V$2:$V$201,0)))</f>
        <v/>
      </c>
      <c r="F169" s="46" t="str">
        <f>IF($O169="","",INDEX('Project Plan'!$I$2:$I$201,MATCH($O169,'Project Plan'!$V$2:$V$201,0)))</f>
        <v/>
      </c>
      <c r="G169" s="46" t="str">
        <f>IF($O169="","",INDEX('Project Plan'!$J$2:$J$201,MATCH($O169,'Project Plan'!$V$2:$V$201,0)))</f>
        <v/>
      </c>
      <c r="H169" s="46" t="str">
        <f>IF($O169="","",INDEX('Project Plan'!$M$2:$M$201,MATCH($O169,'Project Plan'!$V$2:$V$201,0)))</f>
        <v/>
      </c>
      <c r="I169" s="45" t="str">
        <f>IF($O169="","",INDEX('Project Plan'!$N$2:$N$201,MATCH($O169,'Project Plan'!$V$2:$V$201,0)))</f>
        <v/>
      </c>
      <c r="J169" s="47" t="str">
        <f>IF($O169="","",INDEX('Project Plan'!$O$2:$O$201,MATCH($O169,'Project Plan'!$V$2:$V$201,0)))</f>
        <v/>
      </c>
      <c r="K169" s="46" t="str">
        <f>IF($O169="","",INDEX('Project Plan'!$R$2:$R$201,MATCH($O169,'Project Plan'!$V$2:$V$201,0)))</f>
        <v/>
      </c>
      <c r="L169" s="38" t="str">
        <f>IF($O169="","",INDEX('Project Plan'!$S$2:$S$201,MATCH($O169,'Project Plan'!$V$2:$V$201,0)))</f>
        <v/>
      </c>
      <c r="M169" s="38" t="str">
        <f>IF($O169="","",INDEX('Project Plan'!$T$2:$T$201,MATCH($O169,'Project Plan'!$V$2:$V$201,0)))</f>
        <v/>
      </c>
      <c r="N169" s="94" t="str">
        <f>IF($O169="","",INDEX('Project Plan'!$U$2:$U$201,MATCH($O169,'Project Plan'!$V$2:$V$201,0)))</f>
        <v/>
      </c>
      <c r="O169" s="45" t="str">
        <f>IF(ROW()-1&lt;=MAX('Project Plan'!$V$2:$V$201),ROW()-1,"")</f>
        <v/>
      </c>
    </row>
    <row r="170" spans="1:15" ht="13.9" customHeight="1" x14ac:dyDescent="0.25">
      <c r="A170" s="93" t="str">
        <f>IF($O170="","",INDEX('Project Plan'!$A$2:$A$201,MATCH($O170,'Project Plan'!$V$2:$V$201,0)))</f>
        <v/>
      </c>
      <c r="B170" s="45" t="str">
        <f>IF($O170="","",INDEX('Project Plan'!$B$2:$B$201,MATCH($O170,'Project Plan'!$V$2:$V$201,0)))</f>
        <v/>
      </c>
      <c r="C170" s="45" t="str">
        <f>IF($O170="","",INDEX('Project Plan'!$C$2:$C$201,MATCH($O170,'Project Plan'!$V$2:$V$201,0)))</f>
        <v/>
      </c>
      <c r="D170" s="45" t="str">
        <f>IF($O170="","",INDEX('Project Plan'!$D$2:$D$201,MATCH($O170,'Project Plan'!$V$2:$V$201,0)))</f>
        <v/>
      </c>
      <c r="E170" s="45" t="str">
        <f>IF($O170="","",INDEX('Project Plan'!$G$2:$G$201,MATCH($O170,'Project Plan'!$V$2:$V$201,0)))</f>
        <v/>
      </c>
      <c r="F170" s="46" t="str">
        <f>IF($O170="","",INDEX('Project Plan'!$I$2:$I$201,MATCH($O170,'Project Plan'!$V$2:$V$201,0)))</f>
        <v/>
      </c>
      <c r="G170" s="46" t="str">
        <f>IF($O170="","",INDEX('Project Plan'!$J$2:$J$201,MATCH($O170,'Project Plan'!$V$2:$V$201,0)))</f>
        <v/>
      </c>
      <c r="H170" s="46" t="str">
        <f>IF($O170="","",INDEX('Project Plan'!$M$2:$M$201,MATCH($O170,'Project Plan'!$V$2:$V$201,0)))</f>
        <v/>
      </c>
      <c r="I170" s="45" t="str">
        <f>IF($O170="","",INDEX('Project Plan'!$N$2:$N$201,MATCH($O170,'Project Plan'!$V$2:$V$201,0)))</f>
        <v/>
      </c>
      <c r="J170" s="47" t="str">
        <f>IF($O170="","",INDEX('Project Plan'!$O$2:$O$201,MATCH($O170,'Project Plan'!$V$2:$V$201,0)))</f>
        <v/>
      </c>
      <c r="K170" s="46" t="str">
        <f>IF($O170="","",INDEX('Project Plan'!$R$2:$R$201,MATCH($O170,'Project Plan'!$V$2:$V$201,0)))</f>
        <v/>
      </c>
      <c r="L170" s="38" t="str">
        <f>IF($O170="","",INDEX('Project Plan'!$S$2:$S$201,MATCH($O170,'Project Plan'!$V$2:$V$201,0)))</f>
        <v/>
      </c>
      <c r="M170" s="38" t="str">
        <f>IF($O170="","",INDEX('Project Plan'!$T$2:$T$201,MATCH($O170,'Project Plan'!$V$2:$V$201,0)))</f>
        <v/>
      </c>
      <c r="N170" s="94" t="str">
        <f>IF($O170="","",INDEX('Project Plan'!$U$2:$U$201,MATCH($O170,'Project Plan'!$V$2:$V$201,0)))</f>
        <v/>
      </c>
      <c r="O170" s="45" t="str">
        <f>IF(ROW()-1&lt;=MAX('Project Plan'!$V$2:$V$201),ROW()-1,"")</f>
        <v/>
      </c>
    </row>
    <row r="171" spans="1:15" ht="13.9" customHeight="1" x14ac:dyDescent="0.25">
      <c r="A171" s="93" t="str">
        <f>IF($O171="","",INDEX('Project Plan'!$A$2:$A$201,MATCH($O171,'Project Plan'!$V$2:$V$201,0)))</f>
        <v/>
      </c>
      <c r="B171" s="45" t="str">
        <f>IF($O171="","",INDEX('Project Plan'!$B$2:$B$201,MATCH($O171,'Project Plan'!$V$2:$V$201,0)))</f>
        <v/>
      </c>
      <c r="C171" s="45" t="str">
        <f>IF($O171="","",INDEX('Project Plan'!$C$2:$C$201,MATCH($O171,'Project Plan'!$V$2:$V$201,0)))</f>
        <v/>
      </c>
      <c r="D171" s="45" t="str">
        <f>IF($O171="","",INDEX('Project Plan'!$D$2:$D$201,MATCH($O171,'Project Plan'!$V$2:$V$201,0)))</f>
        <v/>
      </c>
      <c r="E171" s="45" t="str">
        <f>IF($O171="","",INDEX('Project Plan'!$G$2:$G$201,MATCH($O171,'Project Plan'!$V$2:$V$201,0)))</f>
        <v/>
      </c>
      <c r="F171" s="46" t="str">
        <f>IF($O171="","",INDEX('Project Plan'!$I$2:$I$201,MATCH($O171,'Project Plan'!$V$2:$V$201,0)))</f>
        <v/>
      </c>
      <c r="G171" s="46" t="str">
        <f>IF($O171="","",INDEX('Project Plan'!$J$2:$J$201,MATCH($O171,'Project Plan'!$V$2:$V$201,0)))</f>
        <v/>
      </c>
      <c r="H171" s="46" t="str">
        <f>IF($O171="","",INDEX('Project Plan'!$M$2:$M$201,MATCH($O171,'Project Plan'!$V$2:$V$201,0)))</f>
        <v/>
      </c>
      <c r="I171" s="45" t="str">
        <f>IF($O171="","",INDEX('Project Plan'!$N$2:$N$201,MATCH($O171,'Project Plan'!$V$2:$V$201,0)))</f>
        <v/>
      </c>
      <c r="J171" s="47" t="str">
        <f>IF($O171="","",INDEX('Project Plan'!$O$2:$O$201,MATCH($O171,'Project Plan'!$V$2:$V$201,0)))</f>
        <v/>
      </c>
      <c r="K171" s="46" t="str">
        <f>IF($O171="","",INDEX('Project Plan'!$R$2:$R$201,MATCH($O171,'Project Plan'!$V$2:$V$201,0)))</f>
        <v/>
      </c>
      <c r="L171" s="38" t="str">
        <f>IF($O171="","",INDEX('Project Plan'!$S$2:$S$201,MATCH($O171,'Project Plan'!$V$2:$V$201,0)))</f>
        <v/>
      </c>
      <c r="M171" s="38" t="str">
        <f>IF($O171="","",INDEX('Project Plan'!$T$2:$T$201,MATCH($O171,'Project Plan'!$V$2:$V$201,0)))</f>
        <v/>
      </c>
      <c r="N171" s="94" t="str">
        <f>IF($O171="","",INDEX('Project Plan'!$U$2:$U$201,MATCH($O171,'Project Plan'!$V$2:$V$201,0)))</f>
        <v/>
      </c>
      <c r="O171" s="45" t="str">
        <f>IF(ROW()-1&lt;=MAX('Project Plan'!$V$2:$V$201),ROW()-1,"")</f>
        <v/>
      </c>
    </row>
    <row r="172" spans="1:15" ht="13.9" customHeight="1" x14ac:dyDescent="0.25">
      <c r="A172" s="93" t="str">
        <f>IF($O172="","",INDEX('Project Plan'!$A$2:$A$201,MATCH($O172,'Project Plan'!$V$2:$V$201,0)))</f>
        <v/>
      </c>
      <c r="B172" s="45" t="str">
        <f>IF($O172="","",INDEX('Project Plan'!$B$2:$B$201,MATCH($O172,'Project Plan'!$V$2:$V$201,0)))</f>
        <v/>
      </c>
      <c r="C172" s="45" t="str">
        <f>IF($O172="","",INDEX('Project Plan'!$C$2:$C$201,MATCH($O172,'Project Plan'!$V$2:$V$201,0)))</f>
        <v/>
      </c>
      <c r="D172" s="45" t="str">
        <f>IF($O172="","",INDEX('Project Plan'!$D$2:$D$201,MATCH($O172,'Project Plan'!$V$2:$V$201,0)))</f>
        <v/>
      </c>
      <c r="E172" s="45" t="str">
        <f>IF($O172="","",INDEX('Project Plan'!$G$2:$G$201,MATCH($O172,'Project Plan'!$V$2:$V$201,0)))</f>
        <v/>
      </c>
      <c r="F172" s="46" t="str">
        <f>IF($O172="","",INDEX('Project Plan'!$I$2:$I$201,MATCH($O172,'Project Plan'!$V$2:$V$201,0)))</f>
        <v/>
      </c>
      <c r="G172" s="46" t="str">
        <f>IF($O172="","",INDEX('Project Plan'!$J$2:$J$201,MATCH($O172,'Project Plan'!$V$2:$V$201,0)))</f>
        <v/>
      </c>
      <c r="H172" s="46" t="str">
        <f>IF($O172="","",INDEX('Project Plan'!$M$2:$M$201,MATCH($O172,'Project Plan'!$V$2:$V$201,0)))</f>
        <v/>
      </c>
      <c r="I172" s="45" t="str">
        <f>IF($O172="","",INDEX('Project Plan'!$N$2:$N$201,MATCH($O172,'Project Plan'!$V$2:$V$201,0)))</f>
        <v/>
      </c>
      <c r="J172" s="47" t="str">
        <f>IF($O172="","",INDEX('Project Plan'!$O$2:$O$201,MATCH($O172,'Project Plan'!$V$2:$V$201,0)))</f>
        <v/>
      </c>
      <c r="K172" s="46" t="str">
        <f>IF($O172="","",INDEX('Project Plan'!$R$2:$R$201,MATCH($O172,'Project Plan'!$V$2:$V$201,0)))</f>
        <v/>
      </c>
      <c r="L172" s="38" t="str">
        <f>IF($O172="","",INDEX('Project Plan'!$S$2:$S$201,MATCH($O172,'Project Plan'!$V$2:$V$201,0)))</f>
        <v/>
      </c>
      <c r="M172" s="38" t="str">
        <f>IF($O172="","",INDEX('Project Plan'!$T$2:$T$201,MATCH($O172,'Project Plan'!$V$2:$V$201,0)))</f>
        <v/>
      </c>
      <c r="N172" s="94" t="str">
        <f>IF($O172="","",INDEX('Project Plan'!$U$2:$U$201,MATCH($O172,'Project Plan'!$V$2:$V$201,0)))</f>
        <v/>
      </c>
      <c r="O172" s="45" t="str">
        <f>IF(ROW()-1&lt;=MAX('Project Plan'!$V$2:$V$201),ROW()-1,"")</f>
        <v/>
      </c>
    </row>
    <row r="173" spans="1:15" ht="13.9" customHeight="1" x14ac:dyDescent="0.25">
      <c r="A173" s="93" t="str">
        <f>IF($O173="","",INDEX('Project Plan'!$A$2:$A$201,MATCH($O173,'Project Plan'!$V$2:$V$201,0)))</f>
        <v/>
      </c>
      <c r="B173" s="45" t="str">
        <f>IF($O173="","",INDEX('Project Plan'!$B$2:$B$201,MATCH($O173,'Project Plan'!$V$2:$V$201,0)))</f>
        <v/>
      </c>
      <c r="C173" s="45" t="str">
        <f>IF($O173="","",INDEX('Project Plan'!$C$2:$C$201,MATCH($O173,'Project Plan'!$V$2:$V$201,0)))</f>
        <v/>
      </c>
      <c r="D173" s="45" t="str">
        <f>IF($O173="","",INDEX('Project Plan'!$D$2:$D$201,MATCH($O173,'Project Plan'!$V$2:$V$201,0)))</f>
        <v/>
      </c>
      <c r="E173" s="45" t="str">
        <f>IF($O173="","",INDEX('Project Plan'!$G$2:$G$201,MATCH($O173,'Project Plan'!$V$2:$V$201,0)))</f>
        <v/>
      </c>
      <c r="F173" s="46" t="str">
        <f>IF($O173="","",INDEX('Project Plan'!$I$2:$I$201,MATCH($O173,'Project Plan'!$V$2:$V$201,0)))</f>
        <v/>
      </c>
      <c r="G173" s="46" t="str">
        <f>IF($O173="","",INDEX('Project Plan'!$J$2:$J$201,MATCH($O173,'Project Plan'!$V$2:$V$201,0)))</f>
        <v/>
      </c>
      <c r="H173" s="46" t="str">
        <f>IF($O173="","",INDEX('Project Plan'!$M$2:$M$201,MATCH($O173,'Project Plan'!$V$2:$V$201,0)))</f>
        <v/>
      </c>
      <c r="I173" s="45" t="str">
        <f>IF($O173="","",INDEX('Project Plan'!$N$2:$N$201,MATCH($O173,'Project Plan'!$V$2:$V$201,0)))</f>
        <v/>
      </c>
      <c r="J173" s="47" t="str">
        <f>IF($O173="","",INDEX('Project Plan'!$O$2:$O$201,MATCH($O173,'Project Plan'!$V$2:$V$201,0)))</f>
        <v/>
      </c>
      <c r="K173" s="46" t="str">
        <f>IF($O173="","",INDEX('Project Plan'!$R$2:$R$201,MATCH($O173,'Project Plan'!$V$2:$V$201,0)))</f>
        <v/>
      </c>
      <c r="L173" s="38" t="str">
        <f>IF($O173="","",INDEX('Project Plan'!$S$2:$S$201,MATCH($O173,'Project Plan'!$V$2:$V$201,0)))</f>
        <v/>
      </c>
      <c r="M173" s="38" t="str">
        <f>IF($O173="","",INDEX('Project Plan'!$T$2:$T$201,MATCH($O173,'Project Plan'!$V$2:$V$201,0)))</f>
        <v/>
      </c>
      <c r="N173" s="94" t="str">
        <f>IF($O173="","",INDEX('Project Plan'!$U$2:$U$201,MATCH($O173,'Project Plan'!$V$2:$V$201,0)))</f>
        <v/>
      </c>
      <c r="O173" s="45" t="str">
        <f>IF(ROW()-1&lt;=MAX('Project Plan'!$V$2:$V$201),ROW()-1,"")</f>
        <v/>
      </c>
    </row>
    <row r="174" spans="1:15" ht="13.9" customHeight="1" x14ac:dyDescent="0.25">
      <c r="A174" s="93" t="str">
        <f>IF($O174="","",INDEX('Project Plan'!$A$2:$A$201,MATCH($O174,'Project Plan'!$V$2:$V$201,0)))</f>
        <v/>
      </c>
      <c r="B174" s="45" t="str">
        <f>IF($O174="","",INDEX('Project Plan'!$B$2:$B$201,MATCH($O174,'Project Plan'!$V$2:$V$201,0)))</f>
        <v/>
      </c>
      <c r="C174" s="45" t="str">
        <f>IF($O174="","",INDEX('Project Plan'!$C$2:$C$201,MATCH($O174,'Project Plan'!$V$2:$V$201,0)))</f>
        <v/>
      </c>
      <c r="D174" s="45" t="str">
        <f>IF($O174="","",INDEX('Project Plan'!$D$2:$D$201,MATCH($O174,'Project Plan'!$V$2:$V$201,0)))</f>
        <v/>
      </c>
      <c r="E174" s="45" t="str">
        <f>IF($O174="","",INDEX('Project Plan'!$G$2:$G$201,MATCH($O174,'Project Plan'!$V$2:$V$201,0)))</f>
        <v/>
      </c>
      <c r="F174" s="46" t="str">
        <f>IF($O174="","",INDEX('Project Plan'!$I$2:$I$201,MATCH($O174,'Project Plan'!$V$2:$V$201,0)))</f>
        <v/>
      </c>
      <c r="G174" s="46" t="str">
        <f>IF($O174="","",INDEX('Project Plan'!$J$2:$J$201,MATCH($O174,'Project Plan'!$V$2:$V$201,0)))</f>
        <v/>
      </c>
      <c r="H174" s="46" t="str">
        <f>IF($O174="","",INDEX('Project Plan'!$M$2:$M$201,MATCH($O174,'Project Plan'!$V$2:$V$201,0)))</f>
        <v/>
      </c>
      <c r="I174" s="45" t="str">
        <f>IF($O174="","",INDEX('Project Plan'!$N$2:$N$201,MATCH($O174,'Project Plan'!$V$2:$V$201,0)))</f>
        <v/>
      </c>
      <c r="J174" s="47" t="str">
        <f>IF($O174="","",INDEX('Project Plan'!$O$2:$O$201,MATCH($O174,'Project Plan'!$V$2:$V$201,0)))</f>
        <v/>
      </c>
      <c r="K174" s="46" t="str">
        <f>IF($O174="","",INDEX('Project Plan'!$R$2:$R$201,MATCH($O174,'Project Plan'!$V$2:$V$201,0)))</f>
        <v/>
      </c>
      <c r="L174" s="38" t="str">
        <f>IF($O174="","",INDEX('Project Plan'!$S$2:$S$201,MATCH($O174,'Project Plan'!$V$2:$V$201,0)))</f>
        <v/>
      </c>
      <c r="M174" s="38" t="str">
        <f>IF($O174="","",INDEX('Project Plan'!$T$2:$T$201,MATCH($O174,'Project Plan'!$V$2:$V$201,0)))</f>
        <v/>
      </c>
      <c r="N174" s="94" t="str">
        <f>IF($O174="","",INDEX('Project Plan'!$U$2:$U$201,MATCH($O174,'Project Plan'!$V$2:$V$201,0)))</f>
        <v/>
      </c>
      <c r="O174" s="45" t="str">
        <f>IF(ROW()-1&lt;=MAX('Project Plan'!$V$2:$V$201),ROW()-1,"")</f>
        <v/>
      </c>
    </row>
    <row r="175" spans="1:15" ht="13.9" customHeight="1" x14ac:dyDescent="0.25">
      <c r="A175" s="93" t="str">
        <f>IF($O175="","",INDEX('Project Plan'!$A$2:$A$201,MATCH($O175,'Project Plan'!$V$2:$V$201,0)))</f>
        <v/>
      </c>
      <c r="B175" s="45" t="str">
        <f>IF($O175="","",INDEX('Project Plan'!$B$2:$B$201,MATCH($O175,'Project Plan'!$V$2:$V$201,0)))</f>
        <v/>
      </c>
      <c r="C175" s="45" t="str">
        <f>IF($O175="","",INDEX('Project Plan'!$C$2:$C$201,MATCH($O175,'Project Plan'!$V$2:$V$201,0)))</f>
        <v/>
      </c>
      <c r="D175" s="45" t="str">
        <f>IF($O175="","",INDEX('Project Plan'!$D$2:$D$201,MATCH($O175,'Project Plan'!$V$2:$V$201,0)))</f>
        <v/>
      </c>
      <c r="E175" s="45" t="str">
        <f>IF($O175="","",INDEX('Project Plan'!$G$2:$G$201,MATCH($O175,'Project Plan'!$V$2:$V$201,0)))</f>
        <v/>
      </c>
      <c r="F175" s="46" t="str">
        <f>IF($O175="","",INDEX('Project Plan'!$I$2:$I$201,MATCH($O175,'Project Plan'!$V$2:$V$201,0)))</f>
        <v/>
      </c>
      <c r="G175" s="46" t="str">
        <f>IF($O175="","",INDEX('Project Plan'!$J$2:$J$201,MATCH($O175,'Project Plan'!$V$2:$V$201,0)))</f>
        <v/>
      </c>
      <c r="H175" s="46" t="str">
        <f>IF($O175="","",INDEX('Project Plan'!$M$2:$M$201,MATCH($O175,'Project Plan'!$V$2:$V$201,0)))</f>
        <v/>
      </c>
      <c r="I175" s="45" t="str">
        <f>IF($O175="","",INDEX('Project Plan'!$N$2:$N$201,MATCH($O175,'Project Plan'!$V$2:$V$201,0)))</f>
        <v/>
      </c>
      <c r="J175" s="47" t="str">
        <f>IF($O175="","",INDEX('Project Plan'!$O$2:$O$201,MATCH($O175,'Project Plan'!$V$2:$V$201,0)))</f>
        <v/>
      </c>
      <c r="K175" s="46" t="str">
        <f>IF($O175="","",INDEX('Project Plan'!$R$2:$R$201,MATCH($O175,'Project Plan'!$V$2:$V$201,0)))</f>
        <v/>
      </c>
      <c r="L175" s="38" t="str">
        <f>IF($O175="","",INDEX('Project Plan'!$S$2:$S$201,MATCH($O175,'Project Plan'!$V$2:$V$201,0)))</f>
        <v/>
      </c>
      <c r="M175" s="38" t="str">
        <f>IF($O175="","",INDEX('Project Plan'!$T$2:$T$201,MATCH($O175,'Project Plan'!$V$2:$V$201,0)))</f>
        <v/>
      </c>
      <c r="N175" s="94" t="str">
        <f>IF($O175="","",INDEX('Project Plan'!$U$2:$U$201,MATCH($O175,'Project Plan'!$V$2:$V$201,0)))</f>
        <v/>
      </c>
      <c r="O175" s="45" t="str">
        <f>IF(ROW()-1&lt;=MAX('Project Plan'!$V$2:$V$201),ROW()-1,"")</f>
        <v/>
      </c>
    </row>
    <row r="176" spans="1:15" ht="13.9" customHeight="1" x14ac:dyDescent="0.25">
      <c r="A176" s="93" t="str">
        <f>IF($O176="","",INDEX('Project Plan'!$A$2:$A$201,MATCH($O176,'Project Plan'!$V$2:$V$201,0)))</f>
        <v/>
      </c>
      <c r="B176" s="45" t="str">
        <f>IF($O176="","",INDEX('Project Plan'!$B$2:$B$201,MATCH($O176,'Project Plan'!$V$2:$V$201,0)))</f>
        <v/>
      </c>
      <c r="C176" s="45" t="str">
        <f>IF($O176="","",INDEX('Project Plan'!$C$2:$C$201,MATCH($O176,'Project Plan'!$V$2:$V$201,0)))</f>
        <v/>
      </c>
      <c r="D176" s="45" t="str">
        <f>IF($O176="","",INDEX('Project Plan'!$D$2:$D$201,MATCH($O176,'Project Plan'!$V$2:$V$201,0)))</f>
        <v/>
      </c>
      <c r="E176" s="45" t="str">
        <f>IF($O176="","",INDEX('Project Plan'!$G$2:$G$201,MATCH($O176,'Project Plan'!$V$2:$V$201,0)))</f>
        <v/>
      </c>
      <c r="F176" s="46" t="str">
        <f>IF($O176="","",INDEX('Project Plan'!$I$2:$I$201,MATCH($O176,'Project Plan'!$V$2:$V$201,0)))</f>
        <v/>
      </c>
      <c r="G176" s="46" t="str">
        <f>IF($O176="","",INDEX('Project Plan'!$J$2:$J$201,MATCH($O176,'Project Plan'!$V$2:$V$201,0)))</f>
        <v/>
      </c>
      <c r="H176" s="46" t="str">
        <f>IF($O176="","",INDEX('Project Plan'!$M$2:$M$201,MATCH($O176,'Project Plan'!$V$2:$V$201,0)))</f>
        <v/>
      </c>
      <c r="I176" s="45" t="str">
        <f>IF($O176="","",INDEX('Project Plan'!$N$2:$N$201,MATCH($O176,'Project Plan'!$V$2:$V$201,0)))</f>
        <v/>
      </c>
      <c r="J176" s="47" t="str">
        <f>IF($O176="","",INDEX('Project Plan'!$O$2:$O$201,MATCH($O176,'Project Plan'!$V$2:$V$201,0)))</f>
        <v/>
      </c>
      <c r="K176" s="46" t="str">
        <f>IF($O176="","",INDEX('Project Plan'!$R$2:$R$201,MATCH($O176,'Project Plan'!$V$2:$V$201,0)))</f>
        <v/>
      </c>
      <c r="L176" s="38" t="str">
        <f>IF($O176="","",INDEX('Project Plan'!$S$2:$S$201,MATCH($O176,'Project Plan'!$V$2:$V$201,0)))</f>
        <v/>
      </c>
      <c r="M176" s="38" t="str">
        <f>IF($O176="","",INDEX('Project Plan'!$T$2:$T$201,MATCH($O176,'Project Plan'!$V$2:$V$201,0)))</f>
        <v/>
      </c>
      <c r="N176" s="94" t="str">
        <f>IF($O176="","",INDEX('Project Plan'!$U$2:$U$201,MATCH($O176,'Project Plan'!$V$2:$V$201,0)))</f>
        <v/>
      </c>
      <c r="O176" s="45" t="str">
        <f>IF(ROW()-1&lt;=MAX('Project Plan'!$V$2:$V$201),ROW()-1,"")</f>
        <v/>
      </c>
    </row>
    <row r="177" spans="1:15" ht="13.9" customHeight="1" x14ac:dyDescent="0.25">
      <c r="A177" s="93" t="str">
        <f>IF($O177="","",INDEX('Project Plan'!$A$2:$A$201,MATCH($O177,'Project Plan'!$V$2:$V$201,0)))</f>
        <v/>
      </c>
      <c r="B177" s="45" t="str">
        <f>IF($O177="","",INDEX('Project Plan'!$B$2:$B$201,MATCH($O177,'Project Plan'!$V$2:$V$201,0)))</f>
        <v/>
      </c>
      <c r="C177" s="45" t="str">
        <f>IF($O177="","",INDEX('Project Plan'!$C$2:$C$201,MATCH($O177,'Project Plan'!$V$2:$V$201,0)))</f>
        <v/>
      </c>
      <c r="D177" s="45" t="str">
        <f>IF($O177="","",INDEX('Project Plan'!$D$2:$D$201,MATCH($O177,'Project Plan'!$V$2:$V$201,0)))</f>
        <v/>
      </c>
      <c r="E177" s="45" t="str">
        <f>IF($O177="","",INDEX('Project Plan'!$G$2:$G$201,MATCH($O177,'Project Plan'!$V$2:$V$201,0)))</f>
        <v/>
      </c>
      <c r="F177" s="46" t="str">
        <f>IF($O177="","",INDEX('Project Plan'!$I$2:$I$201,MATCH($O177,'Project Plan'!$V$2:$V$201,0)))</f>
        <v/>
      </c>
      <c r="G177" s="46" t="str">
        <f>IF($O177="","",INDEX('Project Plan'!$J$2:$J$201,MATCH($O177,'Project Plan'!$V$2:$V$201,0)))</f>
        <v/>
      </c>
      <c r="H177" s="46" t="str">
        <f>IF($O177="","",INDEX('Project Plan'!$M$2:$M$201,MATCH($O177,'Project Plan'!$V$2:$V$201,0)))</f>
        <v/>
      </c>
      <c r="I177" s="45" t="str">
        <f>IF($O177="","",INDEX('Project Plan'!$N$2:$N$201,MATCH($O177,'Project Plan'!$V$2:$V$201,0)))</f>
        <v/>
      </c>
      <c r="J177" s="47" t="str">
        <f>IF($O177="","",INDEX('Project Plan'!$O$2:$O$201,MATCH($O177,'Project Plan'!$V$2:$V$201,0)))</f>
        <v/>
      </c>
      <c r="K177" s="46" t="str">
        <f>IF($O177="","",INDEX('Project Plan'!$R$2:$R$201,MATCH($O177,'Project Plan'!$V$2:$V$201,0)))</f>
        <v/>
      </c>
      <c r="L177" s="38" t="str">
        <f>IF($O177="","",INDEX('Project Plan'!$S$2:$S$201,MATCH($O177,'Project Plan'!$V$2:$V$201,0)))</f>
        <v/>
      </c>
      <c r="M177" s="38" t="str">
        <f>IF($O177="","",INDEX('Project Plan'!$T$2:$T$201,MATCH($O177,'Project Plan'!$V$2:$V$201,0)))</f>
        <v/>
      </c>
      <c r="N177" s="94" t="str">
        <f>IF($O177="","",INDEX('Project Plan'!$U$2:$U$201,MATCH($O177,'Project Plan'!$V$2:$V$201,0)))</f>
        <v/>
      </c>
      <c r="O177" s="45" t="str">
        <f>IF(ROW()-1&lt;=MAX('Project Plan'!$V$2:$V$201),ROW()-1,"")</f>
        <v/>
      </c>
    </row>
    <row r="178" spans="1:15" ht="13.9" customHeight="1" x14ac:dyDescent="0.25">
      <c r="A178" s="93" t="str">
        <f>IF($O178="","",INDEX('Project Plan'!$A$2:$A$201,MATCH($O178,'Project Plan'!$V$2:$V$201,0)))</f>
        <v/>
      </c>
      <c r="B178" s="45" t="str">
        <f>IF($O178="","",INDEX('Project Plan'!$B$2:$B$201,MATCH($O178,'Project Plan'!$V$2:$V$201,0)))</f>
        <v/>
      </c>
      <c r="C178" s="45" t="str">
        <f>IF($O178="","",INDEX('Project Plan'!$C$2:$C$201,MATCH($O178,'Project Plan'!$V$2:$V$201,0)))</f>
        <v/>
      </c>
      <c r="D178" s="45" t="str">
        <f>IF($O178="","",INDEX('Project Plan'!$D$2:$D$201,MATCH($O178,'Project Plan'!$V$2:$V$201,0)))</f>
        <v/>
      </c>
      <c r="E178" s="45" t="str">
        <f>IF($O178="","",INDEX('Project Plan'!$G$2:$G$201,MATCH($O178,'Project Plan'!$V$2:$V$201,0)))</f>
        <v/>
      </c>
      <c r="F178" s="46" t="str">
        <f>IF($O178="","",INDEX('Project Plan'!$I$2:$I$201,MATCH($O178,'Project Plan'!$V$2:$V$201,0)))</f>
        <v/>
      </c>
      <c r="G178" s="46" t="str">
        <f>IF($O178="","",INDEX('Project Plan'!$J$2:$J$201,MATCH($O178,'Project Plan'!$V$2:$V$201,0)))</f>
        <v/>
      </c>
      <c r="H178" s="46" t="str">
        <f>IF($O178="","",INDEX('Project Plan'!$M$2:$M$201,MATCH($O178,'Project Plan'!$V$2:$V$201,0)))</f>
        <v/>
      </c>
      <c r="I178" s="45" t="str">
        <f>IF($O178="","",INDEX('Project Plan'!$N$2:$N$201,MATCH($O178,'Project Plan'!$V$2:$V$201,0)))</f>
        <v/>
      </c>
      <c r="J178" s="47" t="str">
        <f>IF($O178="","",INDEX('Project Plan'!$O$2:$O$201,MATCH($O178,'Project Plan'!$V$2:$V$201,0)))</f>
        <v/>
      </c>
      <c r="K178" s="46" t="str">
        <f>IF($O178="","",INDEX('Project Plan'!$R$2:$R$201,MATCH($O178,'Project Plan'!$V$2:$V$201,0)))</f>
        <v/>
      </c>
      <c r="L178" s="38" t="str">
        <f>IF($O178="","",INDEX('Project Plan'!$S$2:$S$201,MATCH($O178,'Project Plan'!$V$2:$V$201,0)))</f>
        <v/>
      </c>
      <c r="M178" s="38" t="str">
        <f>IF($O178="","",INDEX('Project Plan'!$T$2:$T$201,MATCH($O178,'Project Plan'!$V$2:$V$201,0)))</f>
        <v/>
      </c>
      <c r="N178" s="94" t="str">
        <f>IF($O178="","",INDEX('Project Plan'!$U$2:$U$201,MATCH($O178,'Project Plan'!$V$2:$V$201,0)))</f>
        <v/>
      </c>
      <c r="O178" s="45" t="str">
        <f>IF(ROW()-1&lt;=MAX('Project Plan'!$V$2:$V$201),ROW()-1,"")</f>
        <v/>
      </c>
    </row>
    <row r="179" spans="1:15" ht="13.9" customHeight="1" x14ac:dyDescent="0.25">
      <c r="A179" s="93" t="str">
        <f>IF($O179="","",INDEX('Project Plan'!$A$2:$A$201,MATCH($O179,'Project Plan'!$V$2:$V$201,0)))</f>
        <v/>
      </c>
      <c r="B179" s="45" t="str">
        <f>IF($O179="","",INDEX('Project Plan'!$B$2:$B$201,MATCH($O179,'Project Plan'!$V$2:$V$201,0)))</f>
        <v/>
      </c>
      <c r="C179" s="45" t="str">
        <f>IF($O179="","",INDEX('Project Plan'!$C$2:$C$201,MATCH($O179,'Project Plan'!$V$2:$V$201,0)))</f>
        <v/>
      </c>
      <c r="D179" s="45" t="str">
        <f>IF($O179="","",INDEX('Project Plan'!$D$2:$D$201,MATCH($O179,'Project Plan'!$V$2:$V$201,0)))</f>
        <v/>
      </c>
      <c r="E179" s="45" t="str">
        <f>IF($O179="","",INDEX('Project Plan'!$G$2:$G$201,MATCH($O179,'Project Plan'!$V$2:$V$201,0)))</f>
        <v/>
      </c>
      <c r="F179" s="46" t="str">
        <f>IF($O179="","",INDEX('Project Plan'!$I$2:$I$201,MATCH($O179,'Project Plan'!$V$2:$V$201,0)))</f>
        <v/>
      </c>
      <c r="G179" s="46" t="str">
        <f>IF($O179="","",INDEX('Project Plan'!$J$2:$J$201,MATCH($O179,'Project Plan'!$V$2:$V$201,0)))</f>
        <v/>
      </c>
      <c r="H179" s="46" t="str">
        <f>IF($O179="","",INDEX('Project Plan'!$M$2:$M$201,MATCH($O179,'Project Plan'!$V$2:$V$201,0)))</f>
        <v/>
      </c>
      <c r="I179" s="45" t="str">
        <f>IF($O179="","",INDEX('Project Plan'!$N$2:$N$201,MATCH($O179,'Project Plan'!$V$2:$V$201,0)))</f>
        <v/>
      </c>
      <c r="J179" s="47" t="str">
        <f>IF($O179="","",INDEX('Project Plan'!$O$2:$O$201,MATCH($O179,'Project Plan'!$V$2:$V$201,0)))</f>
        <v/>
      </c>
      <c r="K179" s="46" t="str">
        <f>IF($O179="","",INDEX('Project Plan'!$R$2:$R$201,MATCH($O179,'Project Plan'!$V$2:$V$201,0)))</f>
        <v/>
      </c>
      <c r="L179" s="38" t="str">
        <f>IF($O179="","",INDEX('Project Plan'!$S$2:$S$201,MATCH($O179,'Project Plan'!$V$2:$V$201,0)))</f>
        <v/>
      </c>
      <c r="M179" s="38" t="str">
        <f>IF($O179="","",INDEX('Project Plan'!$T$2:$T$201,MATCH($O179,'Project Plan'!$V$2:$V$201,0)))</f>
        <v/>
      </c>
      <c r="N179" s="94" t="str">
        <f>IF($O179="","",INDEX('Project Plan'!$U$2:$U$201,MATCH($O179,'Project Plan'!$V$2:$V$201,0)))</f>
        <v/>
      </c>
      <c r="O179" s="45" t="str">
        <f>IF(ROW()-1&lt;=MAX('Project Plan'!$V$2:$V$201),ROW()-1,"")</f>
        <v/>
      </c>
    </row>
    <row r="180" spans="1:15" ht="13.9" customHeight="1" x14ac:dyDescent="0.25">
      <c r="A180" s="93" t="str">
        <f>IF($O180="","",INDEX('Project Plan'!$A$2:$A$201,MATCH($O180,'Project Plan'!$V$2:$V$201,0)))</f>
        <v/>
      </c>
      <c r="B180" s="45" t="str">
        <f>IF($O180="","",INDEX('Project Plan'!$B$2:$B$201,MATCH($O180,'Project Plan'!$V$2:$V$201,0)))</f>
        <v/>
      </c>
      <c r="C180" s="45" t="str">
        <f>IF($O180="","",INDEX('Project Plan'!$C$2:$C$201,MATCH($O180,'Project Plan'!$V$2:$V$201,0)))</f>
        <v/>
      </c>
      <c r="D180" s="45" t="str">
        <f>IF($O180="","",INDEX('Project Plan'!$D$2:$D$201,MATCH($O180,'Project Plan'!$V$2:$V$201,0)))</f>
        <v/>
      </c>
      <c r="E180" s="45" t="str">
        <f>IF($O180="","",INDEX('Project Plan'!$G$2:$G$201,MATCH($O180,'Project Plan'!$V$2:$V$201,0)))</f>
        <v/>
      </c>
      <c r="F180" s="46" t="str">
        <f>IF($O180="","",INDEX('Project Plan'!$I$2:$I$201,MATCH($O180,'Project Plan'!$V$2:$V$201,0)))</f>
        <v/>
      </c>
      <c r="G180" s="46" t="str">
        <f>IF($O180="","",INDEX('Project Plan'!$J$2:$J$201,MATCH($O180,'Project Plan'!$V$2:$V$201,0)))</f>
        <v/>
      </c>
      <c r="H180" s="46" t="str">
        <f>IF($O180="","",INDEX('Project Plan'!$M$2:$M$201,MATCH($O180,'Project Plan'!$V$2:$V$201,0)))</f>
        <v/>
      </c>
      <c r="I180" s="45" t="str">
        <f>IF($O180="","",INDEX('Project Plan'!$N$2:$N$201,MATCH($O180,'Project Plan'!$V$2:$V$201,0)))</f>
        <v/>
      </c>
      <c r="J180" s="47" t="str">
        <f>IF($O180="","",INDEX('Project Plan'!$O$2:$O$201,MATCH($O180,'Project Plan'!$V$2:$V$201,0)))</f>
        <v/>
      </c>
      <c r="K180" s="46" t="str">
        <f>IF($O180="","",INDEX('Project Plan'!$R$2:$R$201,MATCH($O180,'Project Plan'!$V$2:$V$201,0)))</f>
        <v/>
      </c>
      <c r="L180" s="38" t="str">
        <f>IF($O180="","",INDEX('Project Plan'!$S$2:$S$201,MATCH($O180,'Project Plan'!$V$2:$V$201,0)))</f>
        <v/>
      </c>
      <c r="M180" s="38" t="str">
        <f>IF($O180="","",INDEX('Project Plan'!$T$2:$T$201,MATCH($O180,'Project Plan'!$V$2:$V$201,0)))</f>
        <v/>
      </c>
      <c r="N180" s="94" t="str">
        <f>IF($O180="","",INDEX('Project Plan'!$U$2:$U$201,MATCH($O180,'Project Plan'!$V$2:$V$201,0)))</f>
        <v/>
      </c>
      <c r="O180" s="45" t="str">
        <f>IF(ROW()-1&lt;=MAX('Project Plan'!$V$2:$V$201),ROW()-1,"")</f>
        <v/>
      </c>
    </row>
    <row r="181" spans="1:15" ht="13.9" customHeight="1" x14ac:dyDescent="0.25">
      <c r="A181" s="93" t="str">
        <f>IF($O181="","",INDEX('Project Plan'!$A$2:$A$201,MATCH($O181,'Project Plan'!$V$2:$V$201,0)))</f>
        <v/>
      </c>
      <c r="B181" s="45" t="str">
        <f>IF($O181="","",INDEX('Project Plan'!$B$2:$B$201,MATCH($O181,'Project Plan'!$V$2:$V$201,0)))</f>
        <v/>
      </c>
      <c r="C181" s="45" t="str">
        <f>IF($O181="","",INDEX('Project Plan'!$C$2:$C$201,MATCH($O181,'Project Plan'!$V$2:$V$201,0)))</f>
        <v/>
      </c>
      <c r="D181" s="45" t="str">
        <f>IF($O181="","",INDEX('Project Plan'!$D$2:$D$201,MATCH($O181,'Project Plan'!$V$2:$V$201,0)))</f>
        <v/>
      </c>
      <c r="E181" s="45" t="str">
        <f>IF($O181="","",INDEX('Project Plan'!$G$2:$G$201,MATCH($O181,'Project Plan'!$V$2:$V$201,0)))</f>
        <v/>
      </c>
      <c r="F181" s="46" t="str">
        <f>IF($O181="","",INDEX('Project Plan'!$I$2:$I$201,MATCH($O181,'Project Plan'!$V$2:$V$201,0)))</f>
        <v/>
      </c>
      <c r="G181" s="46" t="str">
        <f>IF($O181="","",INDEX('Project Plan'!$J$2:$J$201,MATCH($O181,'Project Plan'!$V$2:$V$201,0)))</f>
        <v/>
      </c>
      <c r="H181" s="46" t="str">
        <f>IF($O181="","",INDEX('Project Plan'!$M$2:$M$201,MATCH($O181,'Project Plan'!$V$2:$V$201,0)))</f>
        <v/>
      </c>
      <c r="I181" s="45" t="str">
        <f>IF($O181="","",INDEX('Project Plan'!$N$2:$N$201,MATCH($O181,'Project Plan'!$V$2:$V$201,0)))</f>
        <v/>
      </c>
      <c r="J181" s="47" t="str">
        <f>IF($O181="","",INDEX('Project Plan'!$O$2:$O$201,MATCH($O181,'Project Plan'!$V$2:$V$201,0)))</f>
        <v/>
      </c>
      <c r="K181" s="46" t="str">
        <f>IF($O181="","",INDEX('Project Plan'!$R$2:$R$201,MATCH($O181,'Project Plan'!$V$2:$V$201,0)))</f>
        <v/>
      </c>
      <c r="L181" s="38" t="str">
        <f>IF($O181="","",INDEX('Project Plan'!$S$2:$S$201,MATCH($O181,'Project Plan'!$V$2:$V$201,0)))</f>
        <v/>
      </c>
      <c r="M181" s="38" t="str">
        <f>IF($O181="","",INDEX('Project Plan'!$T$2:$T$201,MATCH($O181,'Project Plan'!$V$2:$V$201,0)))</f>
        <v/>
      </c>
      <c r="N181" s="94" t="str">
        <f>IF($O181="","",INDEX('Project Plan'!$U$2:$U$201,MATCH($O181,'Project Plan'!$V$2:$V$201,0)))</f>
        <v/>
      </c>
      <c r="O181" s="45" t="str">
        <f>IF(ROW()-1&lt;=MAX('Project Plan'!$V$2:$V$201),ROW()-1,"")</f>
        <v/>
      </c>
    </row>
    <row r="182" spans="1:15" ht="13.9" customHeight="1" x14ac:dyDescent="0.25">
      <c r="A182" s="93" t="str">
        <f>IF($O182="","",INDEX('Project Plan'!$A$2:$A$201,MATCH($O182,'Project Plan'!$V$2:$V$201,0)))</f>
        <v/>
      </c>
      <c r="B182" s="45" t="str">
        <f>IF($O182="","",INDEX('Project Plan'!$B$2:$B$201,MATCH($O182,'Project Plan'!$V$2:$V$201,0)))</f>
        <v/>
      </c>
      <c r="C182" s="45" t="str">
        <f>IF($O182="","",INDEX('Project Plan'!$C$2:$C$201,MATCH($O182,'Project Plan'!$V$2:$V$201,0)))</f>
        <v/>
      </c>
      <c r="D182" s="45" t="str">
        <f>IF($O182="","",INDEX('Project Plan'!$D$2:$D$201,MATCH($O182,'Project Plan'!$V$2:$V$201,0)))</f>
        <v/>
      </c>
      <c r="E182" s="45" t="str">
        <f>IF($O182="","",INDEX('Project Plan'!$G$2:$G$201,MATCH($O182,'Project Plan'!$V$2:$V$201,0)))</f>
        <v/>
      </c>
      <c r="F182" s="46" t="str">
        <f>IF($O182="","",INDEX('Project Plan'!$I$2:$I$201,MATCH($O182,'Project Plan'!$V$2:$V$201,0)))</f>
        <v/>
      </c>
      <c r="G182" s="46" t="str">
        <f>IF($O182="","",INDEX('Project Plan'!$J$2:$J$201,MATCH($O182,'Project Plan'!$V$2:$V$201,0)))</f>
        <v/>
      </c>
      <c r="H182" s="46" t="str">
        <f>IF($O182="","",INDEX('Project Plan'!$M$2:$M$201,MATCH($O182,'Project Plan'!$V$2:$V$201,0)))</f>
        <v/>
      </c>
      <c r="I182" s="45" t="str">
        <f>IF($O182="","",INDEX('Project Plan'!$N$2:$N$201,MATCH($O182,'Project Plan'!$V$2:$V$201,0)))</f>
        <v/>
      </c>
      <c r="J182" s="47" t="str">
        <f>IF($O182="","",INDEX('Project Plan'!$O$2:$O$201,MATCH($O182,'Project Plan'!$V$2:$V$201,0)))</f>
        <v/>
      </c>
      <c r="K182" s="46" t="str">
        <f>IF($O182="","",INDEX('Project Plan'!$R$2:$R$201,MATCH($O182,'Project Plan'!$V$2:$V$201,0)))</f>
        <v/>
      </c>
      <c r="L182" s="38" t="str">
        <f>IF($O182="","",INDEX('Project Plan'!$S$2:$S$201,MATCH($O182,'Project Plan'!$V$2:$V$201,0)))</f>
        <v/>
      </c>
      <c r="M182" s="38" t="str">
        <f>IF($O182="","",INDEX('Project Plan'!$T$2:$T$201,MATCH($O182,'Project Plan'!$V$2:$V$201,0)))</f>
        <v/>
      </c>
      <c r="N182" s="94" t="str">
        <f>IF($O182="","",INDEX('Project Plan'!$U$2:$U$201,MATCH($O182,'Project Plan'!$V$2:$V$201,0)))</f>
        <v/>
      </c>
      <c r="O182" s="45" t="str">
        <f>IF(ROW()-1&lt;=MAX('Project Plan'!$V$2:$V$201),ROW()-1,"")</f>
        <v/>
      </c>
    </row>
    <row r="183" spans="1:15" ht="13.9" customHeight="1" x14ac:dyDescent="0.25">
      <c r="A183" s="93" t="str">
        <f>IF($O183="","",INDEX('Project Plan'!$A$2:$A$201,MATCH($O183,'Project Plan'!$V$2:$V$201,0)))</f>
        <v/>
      </c>
      <c r="B183" s="45" t="str">
        <f>IF($O183="","",INDEX('Project Plan'!$B$2:$B$201,MATCH($O183,'Project Plan'!$V$2:$V$201,0)))</f>
        <v/>
      </c>
      <c r="C183" s="45" t="str">
        <f>IF($O183="","",INDEX('Project Plan'!$C$2:$C$201,MATCH($O183,'Project Plan'!$V$2:$V$201,0)))</f>
        <v/>
      </c>
      <c r="D183" s="45" t="str">
        <f>IF($O183="","",INDEX('Project Plan'!$D$2:$D$201,MATCH($O183,'Project Plan'!$V$2:$V$201,0)))</f>
        <v/>
      </c>
      <c r="E183" s="45" t="str">
        <f>IF($O183="","",INDEX('Project Plan'!$G$2:$G$201,MATCH($O183,'Project Plan'!$V$2:$V$201,0)))</f>
        <v/>
      </c>
      <c r="F183" s="46" t="str">
        <f>IF($O183="","",INDEX('Project Plan'!$I$2:$I$201,MATCH($O183,'Project Plan'!$V$2:$V$201,0)))</f>
        <v/>
      </c>
      <c r="G183" s="46" t="str">
        <f>IF($O183="","",INDEX('Project Plan'!$J$2:$J$201,MATCH($O183,'Project Plan'!$V$2:$V$201,0)))</f>
        <v/>
      </c>
      <c r="H183" s="46" t="str">
        <f>IF($O183="","",INDEX('Project Plan'!$M$2:$M$201,MATCH($O183,'Project Plan'!$V$2:$V$201,0)))</f>
        <v/>
      </c>
      <c r="I183" s="45" t="str">
        <f>IF($O183="","",INDEX('Project Plan'!$N$2:$N$201,MATCH($O183,'Project Plan'!$V$2:$V$201,0)))</f>
        <v/>
      </c>
      <c r="J183" s="47" t="str">
        <f>IF($O183="","",INDEX('Project Plan'!$O$2:$O$201,MATCH($O183,'Project Plan'!$V$2:$V$201,0)))</f>
        <v/>
      </c>
      <c r="K183" s="46" t="str">
        <f>IF($O183="","",INDEX('Project Plan'!$R$2:$R$201,MATCH($O183,'Project Plan'!$V$2:$V$201,0)))</f>
        <v/>
      </c>
      <c r="L183" s="38" t="str">
        <f>IF($O183="","",INDEX('Project Plan'!$S$2:$S$201,MATCH($O183,'Project Plan'!$V$2:$V$201,0)))</f>
        <v/>
      </c>
      <c r="M183" s="38" t="str">
        <f>IF($O183="","",INDEX('Project Plan'!$T$2:$T$201,MATCH($O183,'Project Plan'!$V$2:$V$201,0)))</f>
        <v/>
      </c>
      <c r="N183" s="94" t="str">
        <f>IF($O183="","",INDEX('Project Plan'!$U$2:$U$201,MATCH($O183,'Project Plan'!$V$2:$V$201,0)))</f>
        <v/>
      </c>
      <c r="O183" s="45" t="str">
        <f>IF(ROW()-1&lt;=MAX('Project Plan'!$V$2:$V$201),ROW()-1,"")</f>
        <v/>
      </c>
    </row>
    <row r="184" spans="1:15" ht="13.9" customHeight="1" x14ac:dyDescent="0.25">
      <c r="A184" s="93" t="str">
        <f>IF($O184="","",INDEX('Project Plan'!$A$2:$A$201,MATCH($O184,'Project Plan'!$V$2:$V$201,0)))</f>
        <v/>
      </c>
      <c r="B184" s="45" t="str">
        <f>IF($O184="","",INDEX('Project Plan'!$B$2:$B$201,MATCH($O184,'Project Plan'!$V$2:$V$201,0)))</f>
        <v/>
      </c>
      <c r="C184" s="45" t="str">
        <f>IF($O184="","",INDEX('Project Plan'!$C$2:$C$201,MATCH($O184,'Project Plan'!$V$2:$V$201,0)))</f>
        <v/>
      </c>
      <c r="D184" s="45" t="str">
        <f>IF($O184="","",INDEX('Project Plan'!$D$2:$D$201,MATCH($O184,'Project Plan'!$V$2:$V$201,0)))</f>
        <v/>
      </c>
      <c r="E184" s="45" t="str">
        <f>IF($O184="","",INDEX('Project Plan'!$G$2:$G$201,MATCH($O184,'Project Plan'!$V$2:$V$201,0)))</f>
        <v/>
      </c>
      <c r="F184" s="46" t="str">
        <f>IF($O184="","",INDEX('Project Plan'!$I$2:$I$201,MATCH($O184,'Project Plan'!$V$2:$V$201,0)))</f>
        <v/>
      </c>
      <c r="G184" s="46" t="str">
        <f>IF($O184="","",INDEX('Project Plan'!$J$2:$J$201,MATCH($O184,'Project Plan'!$V$2:$V$201,0)))</f>
        <v/>
      </c>
      <c r="H184" s="46" t="str">
        <f>IF($O184="","",INDEX('Project Plan'!$M$2:$M$201,MATCH($O184,'Project Plan'!$V$2:$V$201,0)))</f>
        <v/>
      </c>
      <c r="I184" s="45" t="str">
        <f>IF($O184="","",INDEX('Project Plan'!$N$2:$N$201,MATCH($O184,'Project Plan'!$V$2:$V$201,0)))</f>
        <v/>
      </c>
      <c r="J184" s="47" t="str">
        <f>IF($O184="","",INDEX('Project Plan'!$O$2:$O$201,MATCH($O184,'Project Plan'!$V$2:$V$201,0)))</f>
        <v/>
      </c>
      <c r="K184" s="46" t="str">
        <f>IF($O184="","",INDEX('Project Plan'!$R$2:$R$201,MATCH($O184,'Project Plan'!$V$2:$V$201,0)))</f>
        <v/>
      </c>
      <c r="L184" s="38" t="str">
        <f>IF($O184="","",INDEX('Project Plan'!$S$2:$S$201,MATCH($O184,'Project Plan'!$V$2:$V$201,0)))</f>
        <v/>
      </c>
      <c r="M184" s="38" t="str">
        <f>IF($O184="","",INDEX('Project Plan'!$T$2:$T$201,MATCH($O184,'Project Plan'!$V$2:$V$201,0)))</f>
        <v/>
      </c>
      <c r="N184" s="94" t="str">
        <f>IF($O184="","",INDEX('Project Plan'!$U$2:$U$201,MATCH($O184,'Project Plan'!$V$2:$V$201,0)))</f>
        <v/>
      </c>
      <c r="O184" s="45" t="str">
        <f>IF(ROW()-1&lt;=MAX('Project Plan'!$V$2:$V$201),ROW()-1,"")</f>
        <v/>
      </c>
    </row>
    <row r="185" spans="1:15" ht="13.9" customHeight="1" x14ac:dyDescent="0.25">
      <c r="A185" s="93" t="str">
        <f>IF($O185="","",INDEX('Project Plan'!$A$2:$A$201,MATCH($O185,'Project Plan'!$V$2:$V$201,0)))</f>
        <v/>
      </c>
      <c r="B185" s="45" t="str">
        <f>IF($O185="","",INDEX('Project Plan'!$B$2:$B$201,MATCH($O185,'Project Plan'!$V$2:$V$201,0)))</f>
        <v/>
      </c>
      <c r="C185" s="45" t="str">
        <f>IF($O185="","",INDEX('Project Plan'!$C$2:$C$201,MATCH($O185,'Project Plan'!$V$2:$V$201,0)))</f>
        <v/>
      </c>
      <c r="D185" s="45" t="str">
        <f>IF($O185="","",INDEX('Project Plan'!$D$2:$D$201,MATCH($O185,'Project Plan'!$V$2:$V$201,0)))</f>
        <v/>
      </c>
      <c r="E185" s="45" t="str">
        <f>IF($O185="","",INDEX('Project Plan'!$G$2:$G$201,MATCH($O185,'Project Plan'!$V$2:$V$201,0)))</f>
        <v/>
      </c>
      <c r="F185" s="46" t="str">
        <f>IF($O185="","",INDEX('Project Plan'!$I$2:$I$201,MATCH($O185,'Project Plan'!$V$2:$V$201,0)))</f>
        <v/>
      </c>
      <c r="G185" s="46" t="str">
        <f>IF($O185="","",INDEX('Project Plan'!$J$2:$J$201,MATCH($O185,'Project Plan'!$V$2:$V$201,0)))</f>
        <v/>
      </c>
      <c r="H185" s="46" t="str">
        <f>IF($O185="","",INDEX('Project Plan'!$M$2:$M$201,MATCH($O185,'Project Plan'!$V$2:$V$201,0)))</f>
        <v/>
      </c>
      <c r="I185" s="45" t="str">
        <f>IF($O185="","",INDEX('Project Plan'!$N$2:$N$201,MATCH($O185,'Project Plan'!$V$2:$V$201,0)))</f>
        <v/>
      </c>
      <c r="J185" s="47" t="str">
        <f>IF($O185="","",INDEX('Project Plan'!$O$2:$O$201,MATCH($O185,'Project Plan'!$V$2:$V$201,0)))</f>
        <v/>
      </c>
      <c r="K185" s="46" t="str">
        <f>IF($O185="","",INDEX('Project Plan'!$R$2:$R$201,MATCH($O185,'Project Plan'!$V$2:$V$201,0)))</f>
        <v/>
      </c>
      <c r="L185" s="38" t="str">
        <f>IF($O185="","",INDEX('Project Plan'!$S$2:$S$201,MATCH($O185,'Project Plan'!$V$2:$V$201,0)))</f>
        <v/>
      </c>
      <c r="M185" s="38" t="str">
        <f>IF($O185="","",INDEX('Project Plan'!$T$2:$T$201,MATCH($O185,'Project Plan'!$V$2:$V$201,0)))</f>
        <v/>
      </c>
      <c r="N185" s="94" t="str">
        <f>IF($O185="","",INDEX('Project Plan'!$U$2:$U$201,MATCH($O185,'Project Plan'!$V$2:$V$201,0)))</f>
        <v/>
      </c>
      <c r="O185" s="45" t="str">
        <f>IF(ROW()-1&lt;=MAX('Project Plan'!$V$2:$V$201),ROW()-1,"")</f>
        <v/>
      </c>
    </row>
    <row r="186" spans="1:15" ht="13.9" customHeight="1" x14ac:dyDescent="0.25">
      <c r="A186" s="93" t="str">
        <f>IF($O186="","",INDEX('Project Plan'!$A$2:$A$201,MATCH($O186,'Project Plan'!$V$2:$V$201,0)))</f>
        <v/>
      </c>
      <c r="B186" s="45" t="str">
        <f>IF($O186="","",INDEX('Project Plan'!$B$2:$B$201,MATCH($O186,'Project Plan'!$V$2:$V$201,0)))</f>
        <v/>
      </c>
      <c r="C186" s="45" t="str">
        <f>IF($O186="","",INDEX('Project Plan'!$C$2:$C$201,MATCH($O186,'Project Plan'!$V$2:$V$201,0)))</f>
        <v/>
      </c>
      <c r="D186" s="45" t="str">
        <f>IF($O186="","",INDEX('Project Plan'!$D$2:$D$201,MATCH($O186,'Project Plan'!$V$2:$V$201,0)))</f>
        <v/>
      </c>
      <c r="E186" s="45" t="str">
        <f>IF($O186="","",INDEX('Project Plan'!$G$2:$G$201,MATCH($O186,'Project Plan'!$V$2:$V$201,0)))</f>
        <v/>
      </c>
      <c r="F186" s="46" t="str">
        <f>IF($O186="","",INDEX('Project Plan'!$I$2:$I$201,MATCH($O186,'Project Plan'!$V$2:$V$201,0)))</f>
        <v/>
      </c>
      <c r="G186" s="46" t="str">
        <f>IF($O186="","",INDEX('Project Plan'!$J$2:$J$201,MATCH($O186,'Project Plan'!$V$2:$V$201,0)))</f>
        <v/>
      </c>
      <c r="H186" s="46" t="str">
        <f>IF($O186="","",INDEX('Project Plan'!$M$2:$M$201,MATCH($O186,'Project Plan'!$V$2:$V$201,0)))</f>
        <v/>
      </c>
      <c r="I186" s="45" t="str">
        <f>IF($O186="","",INDEX('Project Plan'!$N$2:$N$201,MATCH($O186,'Project Plan'!$V$2:$V$201,0)))</f>
        <v/>
      </c>
      <c r="J186" s="47" t="str">
        <f>IF($O186="","",INDEX('Project Plan'!$O$2:$O$201,MATCH($O186,'Project Plan'!$V$2:$V$201,0)))</f>
        <v/>
      </c>
      <c r="K186" s="46" t="str">
        <f>IF($O186="","",INDEX('Project Plan'!$R$2:$R$201,MATCH($O186,'Project Plan'!$V$2:$V$201,0)))</f>
        <v/>
      </c>
      <c r="L186" s="38" t="str">
        <f>IF($O186="","",INDEX('Project Plan'!$S$2:$S$201,MATCH($O186,'Project Plan'!$V$2:$V$201,0)))</f>
        <v/>
      </c>
      <c r="M186" s="38" t="str">
        <f>IF($O186="","",INDEX('Project Plan'!$T$2:$T$201,MATCH($O186,'Project Plan'!$V$2:$V$201,0)))</f>
        <v/>
      </c>
      <c r="N186" s="94" t="str">
        <f>IF($O186="","",INDEX('Project Plan'!$U$2:$U$201,MATCH($O186,'Project Plan'!$V$2:$V$201,0)))</f>
        <v/>
      </c>
      <c r="O186" s="45" t="str">
        <f>IF(ROW()-1&lt;=MAX('Project Plan'!$V$2:$V$201),ROW()-1,"")</f>
        <v/>
      </c>
    </row>
    <row r="187" spans="1:15" ht="13.9" customHeight="1" x14ac:dyDescent="0.25">
      <c r="A187" s="93" t="str">
        <f>IF($O187="","",INDEX('Project Plan'!$A$2:$A$201,MATCH($O187,'Project Plan'!$V$2:$V$201,0)))</f>
        <v/>
      </c>
      <c r="B187" s="45" t="str">
        <f>IF($O187="","",INDEX('Project Plan'!$B$2:$B$201,MATCH($O187,'Project Plan'!$V$2:$V$201,0)))</f>
        <v/>
      </c>
      <c r="C187" s="45" t="str">
        <f>IF($O187="","",INDEX('Project Plan'!$C$2:$C$201,MATCH($O187,'Project Plan'!$V$2:$V$201,0)))</f>
        <v/>
      </c>
      <c r="D187" s="45" t="str">
        <f>IF($O187="","",INDEX('Project Plan'!$D$2:$D$201,MATCH($O187,'Project Plan'!$V$2:$V$201,0)))</f>
        <v/>
      </c>
      <c r="E187" s="45" t="str">
        <f>IF($O187="","",INDEX('Project Plan'!$G$2:$G$201,MATCH($O187,'Project Plan'!$V$2:$V$201,0)))</f>
        <v/>
      </c>
      <c r="F187" s="46" t="str">
        <f>IF($O187="","",INDEX('Project Plan'!$I$2:$I$201,MATCH($O187,'Project Plan'!$V$2:$V$201,0)))</f>
        <v/>
      </c>
      <c r="G187" s="46" t="str">
        <f>IF($O187="","",INDEX('Project Plan'!$J$2:$J$201,MATCH($O187,'Project Plan'!$V$2:$V$201,0)))</f>
        <v/>
      </c>
      <c r="H187" s="46" t="str">
        <f>IF($O187="","",INDEX('Project Plan'!$M$2:$M$201,MATCH($O187,'Project Plan'!$V$2:$V$201,0)))</f>
        <v/>
      </c>
      <c r="I187" s="45" t="str">
        <f>IF($O187="","",INDEX('Project Plan'!$N$2:$N$201,MATCH($O187,'Project Plan'!$V$2:$V$201,0)))</f>
        <v/>
      </c>
      <c r="J187" s="47" t="str">
        <f>IF($O187="","",INDEX('Project Plan'!$O$2:$O$201,MATCH($O187,'Project Plan'!$V$2:$V$201,0)))</f>
        <v/>
      </c>
      <c r="K187" s="46" t="str">
        <f>IF($O187="","",INDEX('Project Plan'!$R$2:$R$201,MATCH($O187,'Project Plan'!$V$2:$V$201,0)))</f>
        <v/>
      </c>
      <c r="L187" s="38" t="str">
        <f>IF($O187="","",INDEX('Project Plan'!$S$2:$S$201,MATCH($O187,'Project Plan'!$V$2:$V$201,0)))</f>
        <v/>
      </c>
      <c r="M187" s="38" t="str">
        <f>IF($O187="","",INDEX('Project Plan'!$T$2:$T$201,MATCH($O187,'Project Plan'!$V$2:$V$201,0)))</f>
        <v/>
      </c>
      <c r="N187" s="94" t="str">
        <f>IF($O187="","",INDEX('Project Plan'!$U$2:$U$201,MATCH($O187,'Project Plan'!$V$2:$V$201,0)))</f>
        <v/>
      </c>
      <c r="O187" s="45" t="str">
        <f>IF(ROW()-1&lt;=MAX('Project Plan'!$V$2:$V$201),ROW()-1,"")</f>
        <v/>
      </c>
    </row>
    <row r="188" spans="1:15" ht="13.9" customHeight="1" x14ac:dyDescent="0.25">
      <c r="A188" s="93" t="str">
        <f>IF($O188="","",INDEX('Project Plan'!$A$2:$A$201,MATCH($O188,'Project Plan'!$V$2:$V$201,0)))</f>
        <v/>
      </c>
      <c r="B188" s="45" t="str">
        <f>IF($O188="","",INDEX('Project Plan'!$B$2:$B$201,MATCH($O188,'Project Plan'!$V$2:$V$201,0)))</f>
        <v/>
      </c>
      <c r="C188" s="45" t="str">
        <f>IF($O188="","",INDEX('Project Plan'!$C$2:$C$201,MATCH($O188,'Project Plan'!$V$2:$V$201,0)))</f>
        <v/>
      </c>
      <c r="D188" s="45" t="str">
        <f>IF($O188="","",INDEX('Project Plan'!$D$2:$D$201,MATCH($O188,'Project Plan'!$V$2:$V$201,0)))</f>
        <v/>
      </c>
      <c r="E188" s="45" t="str">
        <f>IF($O188="","",INDEX('Project Plan'!$G$2:$G$201,MATCH($O188,'Project Plan'!$V$2:$V$201,0)))</f>
        <v/>
      </c>
      <c r="F188" s="46" t="str">
        <f>IF($O188="","",INDEX('Project Plan'!$I$2:$I$201,MATCH($O188,'Project Plan'!$V$2:$V$201,0)))</f>
        <v/>
      </c>
      <c r="G188" s="46" t="str">
        <f>IF($O188="","",INDEX('Project Plan'!$J$2:$J$201,MATCH($O188,'Project Plan'!$V$2:$V$201,0)))</f>
        <v/>
      </c>
      <c r="H188" s="46" t="str">
        <f>IF($O188="","",INDEX('Project Plan'!$M$2:$M$201,MATCH($O188,'Project Plan'!$V$2:$V$201,0)))</f>
        <v/>
      </c>
      <c r="I188" s="45" t="str">
        <f>IF($O188="","",INDEX('Project Plan'!$N$2:$N$201,MATCH($O188,'Project Plan'!$V$2:$V$201,0)))</f>
        <v/>
      </c>
      <c r="J188" s="47" t="str">
        <f>IF($O188="","",INDEX('Project Plan'!$O$2:$O$201,MATCH($O188,'Project Plan'!$V$2:$V$201,0)))</f>
        <v/>
      </c>
      <c r="K188" s="46" t="str">
        <f>IF($O188="","",INDEX('Project Plan'!$R$2:$R$201,MATCH($O188,'Project Plan'!$V$2:$V$201,0)))</f>
        <v/>
      </c>
      <c r="L188" s="38" t="str">
        <f>IF($O188="","",INDEX('Project Plan'!$S$2:$S$201,MATCH($O188,'Project Plan'!$V$2:$V$201,0)))</f>
        <v/>
      </c>
      <c r="M188" s="38" t="str">
        <f>IF($O188="","",INDEX('Project Plan'!$T$2:$T$201,MATCH($O188,'Project Plan'!$V$2:$V$201,0)))</f>
        <v/>
      </c>
      <c r="N188" s="94" t="str">
        <f>IF($O188="","",INDEX('Project Plan'!$U$2:$U$201,MATCH($O188,'Project Plan'!$V$2:$V$201,0)))</f>
        <v/>
      </c>
      <c r="O188" s="45" t="str">
        <f>IF(ROW()-1&lt;=MAX('Project Plan'!$V$2:$V$201),ROW()-1,"")</f>
        <v/>
      </c>
    </row>
    <row r="189" spans="1:15" ht="13.9" customHeight="1" x14ac:dyDescent="0.25">
      <c r="A189" s="93" t="str">
        <f>IF($O189="","",INDEX('Project Plan'!$A$2:$A$201,MATCH($O189,'Project Plan'!$V$2:$V$201,0)))</f>
        <v/>
      </c>
      <c r="B189" s="45" t="str">
        <f>IF($O189="","",INDEX('Project Plan'!$B$2:$B$201,MATCH($O189,'Project Plan'!$V$2:$V$201,0)))</f>
        <v/>
      </c>
      <c r="C189" s="45" t="str">
        <f>IF($O189="","",INDEX('Project Plan'!$C$2:$C$201,MATCH($O189,'Project Plan'!$V$2:$V$201,0)))</f>
        <v/>
      </c>
      <c r="D189" s="45" t="str">
        <f>IF($O189="","",INDEX('Project Plan'!$D$2:$D$201,MATCH($O189,'Project Plan'!$V$2:$V$201,0)))</f>
        <v/>
      </c>
      <c r="E189" s="45" t="str">
        <f>IF($O189="","",INDEX('Project Plan'!$G$2:$G$201,MATCH($O189,'Project Plan'!$V$2:$V$201,0)))</f>
        <v/>
      </c>
      <c r="F189" s="46" t="str">
        <f>IF($O189="","",INDEX('Project Plan'!$I$2:$I$201,MATCH($O189,'Project Plan'!$V$2:$V$201,0)))</f>
        <v/>
      </c>
      <c r="G189" s="46" t="str">
        <f>IF($O189="","",INDEX('Project Plan'!$J$2:$J$201,MATCH($O189,'Project Plan'!$V$2:$V$201,0)))</f>
        <v/>
      </c>
      <c r="H189" s="46" t="str">
        <f>IF($O189="","",INDEX('Project Plan'!$M$2:$M$201,MATCH($O189,'Project Plan'!$V$2:$V$201,0)))</f>
        <v/>
      </c>
      <c r="I189" s="45" t="str">
        <f>IF($O189="","",INDEX('Project Plan'!$N$2:$N$201,MATCH($O189,'Project Plan'!$V$2:$V$201,0)))</f>
        <v/>
      </c>
      <c r="J189" s="47" t="str">
        <f>IF($O189="","",INDEX('Project Plan'!$O$2:$O$201,MATCH($O189,'Project Plan'!$V$2:$V$201,0)))</f>
        <v/>
      </c>
      <c r="K189" s="46" t="str">
        <f>IF($O189="","",INDEX('Project Plan'!$R$2:$R$201,MATCH($O189,'Project Plan'!$V$2:$V$201,0)))</f>
        <v/>
      </c>
      <c r="L189" s="38" t="str">
        <f>IF($O189="","",INDEX('Project Plan'!$S$2:$S$201,MATCH($O189,'Project Plan'!$V$2:$V$201,0)))</f>
        <v/>
      </c>
      <c r="M189" s="38" t="str">
        <f>IF($O189="","",INDEX('Project Plan'!$T$2:$T$201,MATCH($O189,'Project Plan'!$V$2:$V$201,0)))</f>
        <v/>
      </c>
      <c r="N189" s="94" t="str">
        <f>IF($O189="","",INDEX('Project Plan'!$U$2:$U$201,MATCH($O189,'Project Plan'!$V$2:$V$201,0)))</f>
        <v/>
      </c>
      <c r="O189" s="45" t="str">
        <f>IF(ROW()-1&lt;=MAX('Project Plan'!$V$2:$V$201),ROW()-1,"")</f>
        <v/>
      </c>
    </row>
    <row r="190" spans="1:15" ht="13.9" customHeight="1" x14ac:dyDescent="0.25">
      <c r="A190" s="93" t="str">
        <f>IF($O190="","",INDEX('Project Plan'!$A$2:$A$201,MATCH($O190,'Project Plan'!$V$2:$V$201,0)))</f>
        <v/>
      </c>
      <c r="B190" s="45" t="str">
        <f>IF($O190="","",INDEX('Project Plan'!$B$2:$B$201,MATCH($O190,'Project Plan'!$V$2:$V$201,0)))</f>
        <v/>
      </c>
      <c r="C190" s="45" t="str">
        <f>IF($O190="","",INDEX('Project Plan'!$C$2:$C$201,MATCH($O190,'Project Plan'!$V$2:$V$201,0)))</f>
        <v/>
      </c>
      <c r="D190" s="45" t="str">
        <f>IF($O190="","",INDEX('Project Plan'!$D$2:$D$201,MATCH($O190,'Project Plan'!$V$2:$V$201,0)))</f>
        <v/>
      </c>
      <c r="E190" s="45" t="str">
        <f>IF($O190="","",INDEX('Project Plan'!$G$2:$G$201,MATCH($O190,'Project Plan'!$V$2:$V$201,0)))</f>
        <v/>
      </c>
      <c r="F190" s="46" t="str">
        <f>IF($O190="","",INDEX('Project Plan'!$I$2:$I$201,MATCH($O190,'Project Plan'!$V$2:$V$201,0)))</f>
        <v/>
      </c>
      <c r="G190" s="46" t="str">
        <f>IF($O190="","",INDEX('Project Plan'!$J$2:$J$201,MATCH($O190,'Project Plan'!$V$2:$V$201,0)))</f>
        <v/>
      </c>
      <c r="H190" s="46" t="str">
        <f>IF($O190="","",INDEX('Project Plan'!$M$2:$M$201,MATCH($O190,'Project Plan'!$V$2:$V$201,0)))</f>
        <v/>
      </c>
      <c r="I190" s="45" t="str">
        <f>IF($O190="","",INDEX('Project Plan'!$N$2:$N$201,MATCH($O190,'Project Plan'!$V$2:$V$201,0)))</f>
        <v/>
      </c>
      <c r="J190" s="47" t="str">
        <f>IF($O190="","",INDEX('Project Plan'!$O$2:$O$201,MATCH($O190,'Project Plan'!$V$2:$V$201,0)))</f>
        <v/>
      </c>
      <c r="K190" s="46" t="str">
        <f>IF($O190="","",INDEX('Project Plan'!$R$2:$R$201,MATCH($O190,'Project Plan'!$V$2:$V$201,0)))</f>
        <v/>
      </c>
      <c r="L190" s="38" t="str">
        <f>IF($O190="","",INDEX('Project Plan'!$S$2:$S$201,MATCH($O190,'Project Plan'!$V$2:$V$201,0)))</f>
        <v/>
      </c>
      <c r="M190" s="38" t="str">
        <f>IF($O190="","",INDEX('Project Plan'!$T$2:$T$201,MATCH($O190,'Project Plan'!$V$2:$V$201,0)))</f>
        <v/>
      </c>
      <c r="N190" s="94" t="str">
        <f>IF($O190="","",INDEX('Project Plan'!$U$2:$U$201,MATCH($O190,'Project Plan'!$V$2:$V$201,0)))</f>
        <v/>
      </c>
      <c r="O190" s="45" t="str">
        <f>IF(ROW()-1&lt;=MAX('Project Plan'!$V$2:$V$201),ROW()-1,"")</f>
        <v/>
      </c>
    </row>
    <row r="191" spans="1:15" ht="13.9" customHeight="1" x14ac:dyDescent="0.25">
      <c r="A191" s="93" t="str">
        <f>IF($O191="","",INDEX('Project Plan'!$A$2:$A$201,MATCH($O191,'Project Plan'!$V$2:$V$201,0)))</f>
        <v/>
      </c>
      <c r="B191" s="45" t="str">
        <f>IF($O191="","",INDEX('Project Plan'!$B$2:$B$201,MATCH($O191,'Project Plan'!$V$2:$V$201,0)))</f>
        <v/>
      </c>
      <c r="C191" s="45" t="str">
        <f>IF($O191="","",INDEX('Project Plan'!$C$2:$C$201,MATCH($O191,'Project Plan'!$V$2:$V$201,0)))</f>
        <v/>
      </c>
      <c r="D191" s="45" t="str">
        <f>IF($O191="","",INDEX('Project Plan'!$D$2:$D$201,MATCH($O191,'Project Plan'!$V$2:$V$201,0)))</f>
        <v/>
      </c>
      <c r="E191" s="45" t="str">
        <f>IF($O191="","",INDEX('Project Plan'!$G$2:$G$201,MATCH($O191,'Project Plan'!$V$2:$V$201,0)))</f>
        <v/>
      </c>
      <c r="F191" s="46" t="str">
        <f>IF($O191="","",INDEX('Project Plan'!$I$2:$I$201,MATCH($O191,'Project Plan'!$V$2:$V$201,0)))</f>
        <v/>
      </c>
      <c r="G191" s="46" t="str">
        <f>IF($O191="","",INDEX('Project Plan'!$J$2:$J$201,MATCH($O191,'Project Plan'!$V$2:$V$201,0)))</f>
        <v/>
      </c>
      <c r="H191" s="46" t="str">
        <f>IF($O191="","",INDEX('Project Plan'!$M$2:$M$201,MATCH($O191,'Project Plan'!$V$2:$V$201,0)))</f>
        <v/>
      </c>
      <c r="I191" s="45" t="str">
        <f>IF($O191="","",INDEX('Project Plan'!$N$2:$N$201,MATCH($O191,'Project Plan'!$V$2:$V$201,0)))</f>
        <v/>
      </c>
      <c r="J191" s="47" t="str">
        <f>IF($O191="","",INDEX('Project Plan'!$O$2:$O$201,MATCH($O191,'Project Plan'!$V$2:$V$201,0)))</f>
        <v/>
      </c>
      <c r="K191" s="46" t="str">
        <f>IF($O191="","",INDEX('Project Plan'!$R$2:$R$201,MATCH($O191,'Project Plan'!$V$2:$V$201,0)))</f>
        <v/>
      </c>
      <c r="L191" s="38" t="str">
        <f>IF($O191="","",INDEX('Project Plan'!$S$2:$S$201,MATCH($O191,'Project Plan'!$V$2:$V$201,0)))</f>
        <v/>
      </c>
      <c r="M191" s="38" t="str">
        <f>IF($O191="","",INDEX('Project Plan'!$T$2:$T$201,MATCH($O191,'Project Plan'!$V$2:$V$201,0)))</f>
        <v/>
      </c>
      <c r="N191" s="94" t="str">
        <f>IF($O191="","",INDEX('Project Plan'!$U$2:$U$201,MATCH($O191,'Project Plan'!$V$2:$V$201,0)))</f>
        <v/>
      </c>
      <c r="O191" s="45" t="str">
        <f>IF(ROW()-1&lt;=MAX('Project Plan'!$V$2:$V$201),ROW()-1,"")</f>
        <v/>
      </c>
    </row>
    <row r="192" spans="1:15" ht="13.9" customHeight="1" x14ac:dyDescent="0.25">
      <c r="A192" s="93" t="str">
        <f>IF($O192="","",INDEX('Project Plan'!$A$2:$A$201,MATCH($O192,'Project Plan'!$V$2:$V$201,0)))</f>
        <v/>
      </c>
      <c r="B192" s="45" t="str">
        <f>IF($O192="","",INDEX('Project Plan'!$B$2:$B$201,MATCH($O192,'Project Plan'!$V$2:$V$201,0)))</f>
        <v/>
      </c>
      <c r="C192" s="45" t="str">
        <f>IF($O192="","",INDEX('Project Plan'!$C$2:$C$201,MATCH($O192,'Project Plan'!$V$2:$V$201,0)))</f>
        <v/>
      </c>
      <c r="D192" s="45" t="str">
        <f>IF($O192="","",INDEX('Project Plan'!$D$2:$D$201,MATCH($O192,'Project Plan'!$V$2:$V$201,0)))</f>
        <v/>
      </c>
      <c r="E192" s="45" t="str">
        <f>IF($O192="","",INDEX('Project Plan'!$G$2:$G$201,MATCH($O192,'Project Plan'!$V$2:$V$201,0)))</f>
        <v/>
      </c>
      <c r="F192" s="46" t="str">
        <f>IF($O192="","",INDEX('Project Plan'!$I$2:$I$201,MATCH($O192,'Project Plan'!$V$2:$V$201,0)))</f>
        <v/>
      </c>
      <c r="G192" s="46" t="str">
        <f>IF($O192="","",INDEX('Project Plan'!$J$2:$J$201,MATCH($O192,'Project Plan'!$V$2:$V$201,0)))</f>
        <v/>
      </c>
      <c r="H192" s="46" t="str">
        <f>IF($O192="","",INDEX('Project Plan'!$M$2:$M$201,MATCH($O192,'Project Plan'!$V$2:$V$201,0)))</f>
        <v/>
      </c>
      <c r="I192" s="45" t="str">
        <f>IF($O192="","",INDEX('Project Plan'!$N$2:$N$201,MATCH($O192,'Project Plan'!$V$2:$V$201,0)))</f>
        <v/>
      </c>
      <c r="J192" s="47" t="str">
        <f>IF($O192="","",INDEX('Project Plan'!$O$2:$O$201,MATCH($O192,'Project Plan'!$V$2:$V$201,0)))</f>
        <v/>
      </c>
      <c r="K192" s="46" t="str">
        <f>IF($O192="","",INDEX('Project Plan'!$R$2:$R$201,MATCH($O192,'Project Plan'!$V$2:$V$201,0)))</f>
        <v/>
      </c>
      <c r="L192" s="38" t="str">
        <f>IF($O192="","",INDEX('Project Plan'!$S$2:$S$201,MATCH($O192,'Project Plan'!$V$2:$V$201,0)))</f>
        <v/>
      </c>
      <c r="M192" s="38" t="str">
        <f>IF($O192="","",INDEX('Project Plan'!$T$2:$T$201,MATCH($O192,'Project Plan'!$V$2:$V$201,0)))</f>
        <v/>
      </c>
      <c r="N192" s="94" t="str">
        <f>IF($O192="","",INDEX('Project Plan'!$U$2:$U$201,MATCH($O192,'Project Plan'!$V$2:$V$201,0)))</f>
        <v/>
      </c>
      <c r="O192" s="45" t="str">
        <f>IF(ROW()-1&lt;=MAX('Project Plan'!$V$2:$V$201),ROW()-1,"")</f>
        <v/>
      </c>
    </row>
    <row r="193" spans="1:15" ht="13.9" customHeight="1" x14ac:dyDescent="0.25">
      <c r="A193" s="93" t="str">
        <f>IF($O193="","",INDEX('Project Plan'!$A$2:$A$201,MATCH($O193,'Project Plan'!$V$2:$V$201,0)))</f>
        <v/>
      </c>
      <c r="B193" s="45" t="str">
        <f>IF($O193="","",INDEX('Project Plan'!$B$2:$B$201,MATCH($O193,'Project Plan'!$V$2:$V$201,0)))</f>
        <v/>
      </c>
      <c r="C193" s="45" t="str">
        <f>IF($O193="","",INDEX('Project Plan'!$C$2:$C$201,MATCH($O193,'Project Plan'!$V$2:$V$201,0)))</f>
        <v/>
      </c>
      <c r="D193" s="45" t="str">
        <f>IF($O193="","",INDEX('Project Plan'!$D$2:$D$201,MATCH($O193,'Project Plan'!$V$2:$V$201,0)))</f>
        <v/>
      </c>
      <c r="E193" s="45" t="str">
        <f>IF($O193="","",INDEX('Project Plan'!$G$2:$G$201,MATCH($O193,'Project Plan'!$V$2:$V$201,0)))</f>
        <v/>
      </c>
      <c r="F193" s="46" t="str">
        <f>IF($O193="","",INDEX('Project Plan'!$I$2:$I$201,MATCH($O193,'Project Plan'!$V$2:$V$201,0)))</f>
        <v/>
      </c>
      <c r="G193" s="46" t="str">
        <f>IF($O193="","",INDEX('Project Plan'!$J$2:$J$201,MATCH($O193,'Project Plan'!$V$2:$V$201,0)))</f>
        <v/>
      </c>
      <c r="H193" s="46" t="str">
        <f>IF($O193="","",INDEX('Project Plan'!$M$2:$M$201,MATCH($O193,'Project Plan'!$V$2:$V$201,0)))</f>
        <v/>
      </c>
      <c r="I193" s="45" t="str">
        <f>IF($O193="","",INDEX('Project Plan'!$N$2:$N$201,MATCH($O193,'Project Plan'!$V$2:$V$201,0)))</f>
        <v/>
      </c>
      <c r="J193" s="47" t="str">
        <f>IF($O193="","",INDEX('Project Plan'!$O$2:$O$201,MATCH($O193,'Project Plan'!$V$2:$V$201,0)))</f>
        <v/>
      </c>
      <c r="K193" s="46" t="str">
        <f>IF($O193="","",INDEX('Project Plan'!$R$2:$R$201,MATCH($O193,'Project Plan'!$V$2:$V$201,0)))</f>
        <v/>
      </c>
      <c r="L193" s="38" t="str">
        <f>IF($O193="","",INDEX('Project Plan'!$S$2:$S$201,MATCH($O193,'Project Plan'!$V$2:$V$201,0)))</f>
        <v/>
      </c>
      <c r="M193" s="38" t="str">
        <f>IF($O193="","",INDEX('Project Plan'!$T$2:$T$201,MATCH($O193,'Project Plan'!$V$2:$V$201,0)))</f>
        <v/>
      </c>
      <c r="N193" s="94" t="str">
        <f>IF($O193="","",INDEX('Project Plan'!$U$2:$U$201,MATCH($O193,'Project Plan'!$V$2:$V$201,0)))</f>
        <v/>
      </c>
      <c r="O193" s="45" t="str">
        <f>IF(ROW()-1&lt;=MAX('Project Plan'!$V$2:$V$201),ROW()-1,"")</f>
        <v/>
      </c>
    </row>
    <row r="194" spans="1:15" ht="13.9" customHeight="1" x14ac:dyDescent="0.25">
      <c r="A194" s="93" t="str">
        <f>IF($O194="","",INDEX('Project Plan'!$A$2:$A$201,MATCH($O194,'Project Plan'!$V$2:$V$201,0)))</f>
        <v/>
      </c>
      <c r="B194" s="45" t="str">
        <f>IF($O194="","",INDEX('Project Plan'!$B$2:$B$201,MATCH($O194,'Project Plan'!$V$2:$V$201,0)))</f>
        <v/>
      </c>
      <c r="C194" s="45" t="str">
        <f>IF($O194="","",INDEX('Project Plan'!$C$2:$C$201,MATCH($O194,'Project Plan'!$V$2:$V$201,0)))</f>
        <v/>
      </c>
      <c r="D194" s="45" t="str">
        <f>IF($O194="","",INDEX('Project Plan'!$D$2:$D$201,MATCH($O194,'Project Plan'!$V$2:$V$201,0)))</f>
        <v/>
      </c>
      <c r="E194" s="45" t="str">
        <f>IF($O194="","",INDEX('Project Plan'!$G$2:$G$201,MATCH($O194,'Project Plan'!$V$2:$V$201,0)))</f>
        <v/>
      </c>
      <c r="F194" s="46" t="str">
        <f>IF($O194="","",INDEX('Project Plan'!$I$2:$I$201,MATCH($O194,'Project Plan'!$V$2:$V$201,0)))</f>
        <v/>
      </c>
      <c r="G194" s="46" t="str">
        <f>IF($O194="","",INDEX('Project Plan'!$J$2:$J$201,MATCH($O194,'Project Plan'!$V$2:$V$201,0)))</f>
        <v/>
      </c>
      <c r="H194" s="46" t="str">
        <f>IF($O194="","",INDEX('Project Plan'!$M$2:$M$201,MATCH($O194,'Project Plan'!$V$2:$V$201,0)))</f>
        <v/>
      </c>
      <c r="I194" s="45" t="str">
        <f>IF($O194="","",INDEX('Project Plan'!$N$2:$N$201,MATCH($O194,'Project Plan'!$V$2:$V$201,0)))</f>
        <v/>
      </c>
      <c r="J194" s="47" t="str">
        <f>IF($O194="","",INDEX('Project Plan'!$O$2:$O$201,MATCH($O194,'Project Plan'!$V$2:$V$201,0)))</f>
        <v/>
      </c>
      <c r="K194" s="46" t="str">
        <f>IF($O194="","",INDEX('Project Plan'!$R$2:$R$201,MATCH($O194,'Project Plan'!$V$2:$V$201,0)))</f>
        <v/>
      </c>
      <c r="L194" s="38" t="str">
        <f>IF($O194="","",INDEX('Project Plan'!$S$2:$S$201,MATCH($O194,'Project Plan'!$V$2:$V$201,0)))</f>
        <v/>
      </c>
      <c r="M194" s="38" t="str">
        <f>IF($O194="","",INDEX('Project Plan'!$T$2:$T$201,MATCH($O194,'Project Plan'!$V$2:$V$201,0)))</f>
        <v/>
      </c>
      <c r="N194" s="94" t="str">
        <f>IF($O194="","",INDEX('Project Plan'!$U$2:$U$201,MATCH($O194,'Project Plan'!$V$2:$V$201,0)))</f>
        <v/>
      </c>
      <c r="O194" s="45" t="str">
        <f>IF(ROW()-1&lt;=MAX('Project Plan'!$V$2:$V$201),ROW()-1,"")</f>
        <v/>
      </c>
    </row>
    <row r="195" spans="1:15" ht="13.9" customHeight="1" x14ac:dyDescent="0.25">
      <c r="A195" s="93" t="str">
        <f>IF($O195="","",INDEX('Project Plan'!$A$2:$A$201,MATCH($O195,'Project Plan'!$V$2:$V$201,0)))</f>
        <v/>
      </c>
      <c r="B195" s="45" t="str">
        <f>IF($O195="","",INDEX('Project Plan'!$B$2:$B$201,MATCH($O195,'Project Plan'!$V$2:$V$201,0)))</f>
        <v/>
      </c>
      <c r="C195" s="45" t="str">
        <f>IF($O195="","",INDEX('Project Plan'!$C$2:$C$201,MATCH($O195,'Project Plan'!$V$2:$V$201,0)))</f>
        <v/>
      </c>
      <c r="D195" s="45" t="str">
        <f>IF($O195="","",INDEX('Project Plan'!$D$2:$D$201,MATCH($O195,'Project Plan'!$V$2:$V$201,0)))</f>
        <v/>
      </c>
      <c r="E195" s="45" t="str">
        <f>IF($O195="","",INDEX('Project Plan'!$G$2:$G$201,MATCH($O195,'Project Plan'!$V$2:$V$201,0)))</f>
        <v/>
      </c>
      <c r="F195" s="46" t="str">
        <f>IF($O195="","",INDEX('Project Plan'!$I$2:$I$201,MATCH($O195,'Project Plan'!$V$2:$V$201,0)))</f>
        <v/>
      </c>
      <c r="G195" s="46" t="str">
        <f>IF($O195="","",INDEX('Project Plan'!$J$2:$J$201,MATCH($O195,'Project Plan'!$V$2:$V$201,0)))</f>
        <v/>
      </c>
      <c r="H195" s="46" t="str">
        <f>IF($O195="","",INDEX('Project Plan'!$M$2:$M$201,MATCH($O195,'Project Plan'!$V$2:$V$201,0)))</f>
        <v/>
      </c>
      <c r="I195" s="45" t="str">
        <f>IF($O195="","",INDEX('Project Plan'!$N$2:$N$201,MATCH($O195,'Project Plan'!$V$2:$V$201,0)))</f>
        <v/>
      </c>
      <c r="J195" s="47" t="str">
        <f>IF($O195="","",INDEX('Project Plan'!$O$2:$O$201,MATCH($O195,'Project Plan'!$V$2:$V$201,0)))</f>
        <v/>
      </c>
      <c r="K195" s="46" t="str">
        <f>IF($O195="","",INDEX('Project Plan'!$R$2:$R$201,MATCH($O195,'Project Plan'!$V$2:$V$201,0)))</f>
        <v/>
      </c>
      <c r="L195" s="38" t="str">
        <f>IF($O195="","",INDEX('Project Plan'!$S$2:$S$201,MATCH($O195,'Project Plan'!$V$2:$V$201,0)))</f>
        <v/>
      </c>
      <c r="M195" s="38" t="str">
        <f>IF($O195="","",INDEX('Project Plan'!$T$2:$T$201,MATCH($O195,'Project Plan'!$V$2:$V$201,0)))</f>
        <v/>
      </c>
      <c r="N195" s="94" t="str">
        <f>IF($O195="","",INDEX('Project Plan'!$U$2:$U$201,MATCH($O195,'Project Plan'!$V$2:$V$201,0)))</f>
        <v/>
      </c>
      <c r="O195" s="45" t="str">
        <f>IF(ROW()-1&lt;=MAX('Project Plan'!$V$2:$V$201),ROW()-1,"")</f>
        <v/>
      </c>
    </row>
    <row r="196" spans="1:15" ht="13.9" customHeight="1" x14ac:dyDescent="0.25">
      <c r="A196" s="93" t="str">
        <f>IF($O196="","",INDEX('Project Plan'!$A$2:$A$201,MATCH($O196,'Project Plan'!$V$2:$V$201,0)))</f>
        <v/>
      </c>
      <c r="B196" s="45" t="str">
        <f>IF($O196="","",INDEX('Project Plan'!$B$2:$B$201,MATCH($O196,'Project Plan'!$V$2:$V$201,0)))</f>
        <v/>
      </c>
      <c r="C196" s="45" t="str">
        <f>IF($O196="","",INDEX('Project Plan'!$C$2:$C$201,MATCH($O196,'Project Plan'!$V$2:$V$201,0)))</f>
        <v/>
      </c>
      <c r="D196" s="45" t="str">
        <f>IF($O196="","",INDEX('Project Plan'!$D$2:$D$201,MATCH($O196,'Project Plan'!$V$2:$V$201,0)))</f>
        <v/>
      </c>
      <c r="E196" s="45" t="str">
        <f>IF($O196="","",INDEX('Project Plan'!$G$2:$G$201,MATCH($O196,'Project Plan'!$V$2:$V$201,0)))</f>
        <v/>
      </c>
      <c r="F196" s="46" t="str">
        <f>IF($O196="","",INDEX('Project Plan'!$I$2:$I$201,MATCH($O196,'Project Plan'!$V$2:$V$201,0)))</f>
        <v/>
      </c>
      <c r="G196" s="46" t="str">
        <f>IF($O196="","",INDEX('Project Plan'!$J$2:$J$201,MATCH($O196,'Project Plan'!$V$2:$V$201,0)))</f>
        <v/>
      </c>
      <c r="H196" s="46" t="str">
        <f>IF($O196="","",INDEX('Project Plan'!$M$2:$M$201,MATCH($O196,'Project Plan'!$V$2:$V$201,0)))</f>
        <v/>
      </c>
      <c r="I196" s="45" t="str">
        <f>IF($O196="","",INDEX('Project Plan'!$N$2:$N$201,MATCH($O196,'Project Plan'!$V$2:$V$201,0)))</f>
        <v/>
      </c>
      <c r="J196" s="47" t="str">
        <f>IF($O196="","",INDEX('Project Plan'!$O$2:$O$201,MATCH($O196,'Project Plan'!$V$2:$V$201,0)))</f>
        <v/>
      </c>
      <c r="K196" s="46" t="str">
        <f>IF($O196="","",INDEX('Project Plan'!$R$2:$R$201,MATCH($O196,'Project Plan'!$V$2:$V$201,0)))</f>
        <v/>
      </c>
      <c r="L196" s="38" t="str">
        <f>IF($O196="","",INDEX('Project Plan'!$S$2:$S$201,MATCH($O196,'Project Plan'!$V$2:$V$201,0)))</f>
        <v/>
      </c>
      <c r="M196" s="38" t="str">
        <f>IF($O196="","",INDEX('Project Plan'!$T$2:$T$201,MATCH($O196,'Project Plan'!$V$2:$V$201,0)))</f>
        <v/>
      </c>
      <c r="N196" s="94" t="str">
        <f>IF($O196="","",INDEX('Project Plan'!$U$2:$U$201,MATCH($O196,'Project Plan'!$V$2:$V$201,0)))</f>
        <v/>
      </c>
      <c r="O196" s="45" t="str">
        <f>IF(ROW()-1&lt;=MAX('Project Plan'!$V$2:$V$201),ROW()-1,"")</f>
        <v/>
      </c>
    </row>
    <row r="197" spans="1:15" ht="13.9" customHeight="1" x14ac:dyDescent="0.25">
      <c r="A197" s="93" t="str">
        <f>IF($O197="","",INDEX('Project Plan'!$A$2:$A$201,MATCH($O197,'Project Plan'!$V$2:$V$201,0)))</f>
        <v/>
      </c>
      <c r="B197" s="45" t="str">
        <f>IF($O197="","",INDEX('Project Plan'!$B$2:$B$201,MATCH($O197,'Project Plan'!$V$2:$V$201,0)))</f>
        <v/>
      </c>
      <c r="C197" s="45" t="str">
        <f>IF($O197="","",INDEX('Project Plan'!$C$2:$C$201,MATCH($O197,'Project Plan'!$V$2:$V$201,0)))</f>
        <v/>
      </c>
      <c r="D197" s="45" t="str">
        <f>IF($O197="","",INDEX('Project Plan'!$D$2:$D$201,MATCH($O197,'Project Plan'!$V$2:$V$201,0)))</f>
        <v/>
      </c>
      <c r="E197" s="45" t="str">
        <f>IF($O197="","",INDEX('Project Plan'!$G$2:$G$201,MATCH($O197,'Project Plan'!$V$2:$V$201,0)))</f>
        <v/>
      </c>
      <c r="F197" s="46" t="str">
        <f>IF($O197="","",INDEX('Project Plan'!$I$2:$I$201,MATCH($O197,'Project Plan'!$V$2:$V$201,0)))</f>
        <v/>
      </c>
      <c r="G197" s="46" t="str">
        <f>IF($O197="","",INDEX('Project Plan'!$J$2:$J$201,MATCH($O197,'Project Plan'!$V$2:$V$201,0)))</f>
        <v/>
      </c>
      <c r="H197" s="46" t="str">
        <f>IF($O197="","",INDEX('Project Plan'!$M$2:$M$201,MATCH($O197,'Project Plan'!$V$2:$V$201,0)))</f>
        <v/>
      </c>
      <c r="I197" s="45" t="str">
        <f>IF($O197="","",INDEX('Project Plan'!$N$2:$N$201,MATCH($O197,'Project Plan'!$V$2:$V$201,0)))</f>
        <v/>
      </c>
      <c r="J197" s="47" t="str">
        <f>IF($O197="","",INDEX('Project Plan'!$O$2:$O$201,MATCH($O197,'Project Plan'!$V$2:$V$201,0)))</f>
        <v/>
      </c>
      <c r="K197" s="46" t="str">
        <f>IF($O197="","",INDEX('Project Plan'!$R$2:$R$201,MATCH($O197,'Project Plan'!$V$2:$V$201,0)))</f>
        <v/>
      </c>
      <c r="L197" s="38" t="str">
        <f>IF($O197="","",INDEX('Project Plan'!$S$2:$S$201,MATCH($O197,'Project Plan'!$V$2:$V$201,0)))</f>
        <v/>
      </c>
      <c r="M197" s="38" t="str">
        <f>IF($O197="","",INDEX('Project Plan'!$T$2:$T$201,MATCH($O197,'Project Plan'!$V$2:$V$201,0)))</f>
        <v/>
      </c>
      <c r="N197" s="94" t="str">
        <f>IF($O197="","",INDEX('Project Plan'!$U$2:$U$201,MATCH($O197,'Project Plan'!$V$2:$V$201,0)))</f>
        <v/>
      </c>
      <c r="O197" s="45" t="str">
        <f>IF(ROW()-1&lt;=MAX('Project Plan'!$V$2:$V$201),ROW()-1,"")</f>
        <v/>
      </c>
    </row>
    <row r="198" spans="1:15" ht="13.9" customHeight="1" x14ac:dyDescent="0.25">
      <c r="A198" s="93" t="str">
        <f>IF($O198="","",INDEX('Project Plan'!$A$2:$A$201,MATCH($O198,'Project Plan'!$V$2:$V$201,0)))</f>
        <v/>
      </c>
      <c r="B198" s="45" t="str">
        <f>IF($O198="","",INDEX('Project Plan'!$B$2:$B$201,MATCH($O198,'Project Plan'!$V$2:$V$201,0)))</f>
        <v/>
      </c>
      <c r="C198" s="45" t="str">
        <f>IF($O198="","",INDEX('Project Plan'!$C$2:$C$201,MATCH($O198,'Project Plan'!$V$2:$V$201,0)))</f>
        <v/>
      </c>
      <c r="D198" s="45" t="str">
        <f>IF($O198="","",INDEX('Project Plan'!$D$2:$D$201,MATCH($O198,'Project Plan'!$V$2:$V$201,0)))</f>
        <v/>
      </c>
      <c r="E198" s="45" t="str">
        <f>IF($O198="","",INDEX('Project Plan'!$G$2:$G$201,MATCH($O198,'Project Plan'!$V$2:$V$201,0)))</f>
        <v/>
      </c>
      <c r="F198" s="46" t="str">
        <f>IF($O198="","",INDEX('Project Plan'!$I$2:$I$201,MATCH($O198,'Project Plan'!$V$2:$V$201,0)))</f>
        <v/>
      </c>
      <c r="G198" s="46" t="str">
        <f>IF($O198="","",INDEX('Project Plan'!$J$2:$J$201,MATCH($O198,'Project Plan'!$V$2:$V$201,0)))</f>
        <v/>
      </c>
      <c r="H198" s="46" t="str">
        <f>IF($O198="","",INDEX('Project Plan'!$M$2:$M$201,MATCH($O198,'Project Plan'!$V$2:$V$201,0)))</f>
        <v/>
      </c>
      <c r="I198" s="45" t="str">
        <f>IF($O198="","",INDEX('Project Plan'!$N$2:$N$201,MATCH($O198,'Project Plan'!$V$2:$V$201,0)))</f>
        <v/>
      </c>
      <c r="J198" s="47" t="str">
        <f>IF($O198="","",INDEX('Project Plan'!$O$2:$O$201,MATCH($O198,'Project Plan'!$V$2:$V$201,0)))</f>
        <v/>
      </c>
      <c r="K198" s="46" t="str">
        <f>IF($O198="","",INDEX('Project Plan'!$R$2:$R$201,MATCH($O198,'Project Plan'!$V$2:$V$201,0)))</f>
        <v/>
      </c>
      <c r="L198" s="38" t="str">
        <f>IF($O198="","",INDEX('Project Plan'!$S$2:$S$201,MATCH($O198,'Project Plan'!$V$2:$V$201,0)))</f>
        <v/>
      </c>
      <c r="M198" s="38" t="str">
        <f>IF($O198="","",INDEX('Project Plan'!$T$2:$T$201,MATCH($O198,'Project Plan'!$V$2:$V$201,0)))</f>
        <v/>
      </c>
      <c r="N198" s="94" t="str">
        <f>IF($O198="","",INDEX('Project Plan'!$U$2:$U$201,MATCH($O198,'Project Plan'!$V$2:$V$201,0)))</f>
        <v/>
      </c>
      <c r="O198" s="45" t="str">
        <f>IF(ROW()-1&lt;=MAX('Project Plan'!$V$2:$V$201),ROW()-1,"")</f>
        <v/>
      </c>
    </row>
    <row r="199" spans="1:15" ht="13.9" customHeight="1" x14ac:dyDescent="0.25">
      <c r="A199" s="93" t="str">
        <f>IF($O199="","",INDEX('Project Plan'!$A$2:$A$201,MATCH($O199,'Project Plan'!$V$2:$V$201,0)))</f>
        <v/>
      </c>
      <c r="B199" s="45" t="str">
        <f>IF($O199="","",INDEX('Project Plan'!$B$2:$B$201,MATCH($O199,'Project Plan'!$V$2:$V$201,0)))</f>
        <v/>
      </c>
      <c r="C199" s="45" t="str">
        <f>IF($O199="","",INDEX('Project Plan'!$C$2:$C$201,MATCH($O199,'Project Plan'!$V$2:$V$201,0)))</f>
        <v/>
      </c>
      <c r="D199" s="45" t="str">
        <f>IF($O199="","",INDEX('Project Plan'!$D$2:$D$201,MATCH($O199,'Project Plan'!$V$2:$V$201,0)))</f>
        <v/>
      </c>
      <c r="E199" s="45" t="str">
        <f>IF($O199="","",INDEX('Project Plan'!$G$2:$G$201,MATCH($O199,'Project Plan'!$V$2:$V$201,0)))</f>
        <v/>
      </c>
      <c r="F199" s="46" t="str">
        <f>IF($O199="","",INDEX('Project Plan'!$I$2:$I$201,MATCH($O199,'Project Plan'!$V$2:$V$201,0)))</f>
        <v/>
      </c>
      <c r="G199" s="46" t="str">
        <f>IF($O199="","",INDEX('Project Plan'!$J$2:$J$201,MATCH($O199,'Project Plan'!$V$2:$V$201,0)))</f>
        <v/>
      </c>
      <c r="H199" s="46" t="str">
        <f>IF($O199="","",INDEX('Project Plan'!$M$2:$M$201,MATCH($O199,'Project Plan'!$V$2:$V$201,0)))</f>
        <v/>
      </c>
      <c r="I199" s="45" t="str">
        <f>IF($O199="","",INDEX('Project Plan'!$N$2:$N$201,MATCH($O199,'Project Plan'!$V$2:$V$201,0)))</f>
        <v/>
      </c>
      <c r="J199" s="47" t="str">
        <f>IF($O199="","",INDEX('Project Plan'!$O$2:$O$201,MATCH($O199,'Project Plan'!$V$2:$V$201,0)))</f>
        <v/>
      </c>
      <c r="K199" s="46" t="str">
        <f>IF($O199="","",INDEX('Project Plan'!$R$2:$R$201,MATCH($O199,'Project Plan'!$V$2:$V$201,0)))</f>
        <v/>
      </c>
      <c r="L199" s="38" t="str">
        <f>IF($O199="","",INDEX('Project Plan'!$S$2:$S$201,MATCH($O199,'Project Plan'!$V$2:$V$201,0)))</f>
        <v/>
      </c>
      <c r="M199" s="38" t="str">
        <f>IF($O199="","",INDEX('Project Plan'!$T$2:$T$201,MATCH($O199,'Project Plan'!$V$2:$V$201,0)))</f>
        <v/>
      </c>
      <c r="N199" s="94" t="str">
        <f>IF($O199="","",INDEX('Project Plan'!$U$2:$U$201,MATCH($O199,'Project Plan'!$V$2:$V$201,0)))</f>
        <v/>
      </c>
      <c r="O199" s="45" t="str">
        <f>IF(ROW()-1&lt;=MAX('Project Plan'!$V$2:$V$201),ROW()-1,"")</f>
        <v/>
      </c>
    </row>
    <row r="200" spans="1:15" ht="13.9" customHeight="1" x14ac:dyDescent="0.25">
      <c r="A200" s="93" t="str">
        <f>IF($O200="","",INDEX('Project Plan'!$A$2:$A$201,MATCH($O200,'Project Plan'!$V$2:$V$201,0)))</f>
        <v/>
      </c>
      <c r="B200" s="45" t="str">
        <f>IF($O200="","",INDEX('Project Plan'!$B$2:$B$201,MATCH($O200,'Project Plan'!$V$2:$V$201,0)))</f>
        <v/>
      </c>
      <c r="C200" s="45" t="str">
        <f>IF($O200="","",INDEX('Project Plan'!$C$2:$C$201,MATCH($O200,'Project Plan'!$V$2:$V$201,0)))</f>
        <v/>
      </c>
      <c r="D200" s="45" t="str">
        <f>IF($O200="","",INDEX('Project Plan'!$D$2:$D$201,MATCH($O200,'Project Plan'!$V$2:$V$201,0)))</f>
        <v/>
      </c>
      <c r="E200" s="45" t="str">
        <f>IF($O200="","",INDEX('Project Plan'!$G$2:$G$201,MATCH($O200,'Project Plan'!$V$2:$V$201,0)))</f>
        <v/>
      </c>
      <c r="F200" s="46" t="str">
        <f>IF($O200="","",INDEX('Project Plan'!$I$2:$I$201,MATCH($O200,'Project Plan'!$V$2:$V$201,0)))</f>
        <v/>
      </c>
      <c r="G200" s="46" t="str">
        <f>IF($O200="","",INDEX('Project Plan'!$J$2:$J$201,MATCH($O200,'Project Plan'!$V$2:$V$201,0)))</f>
        <v/>
      </c>
      <c r="H200" s="46" t="str">
        <f>IF($O200="","",INDEX('Project Plan'!$M$2:$M$201,MATCH($O200,'Project Plan'!$V$2:$V$201,0)))</f>
        <v/>
      </c>
      <c r="I200" s="45" t="str">
        <f>IF($O200="","",INDEX('Project Plan'!$N$2:$N$201,MATCH($O200,'Project Plan'!$V$2:$V$201,0)))</f>
        <v/>
      </c>
      <c r="J200" s="47" t="str">
        <f>IF($O200="","",INDEX('Project Plan'!$O$2:$O$201,MATCH($O200,'Project Plan'!$V$2:$V$201,0)))</f>
        <v/>
      </c>
      <c r="K200" s="46" t="str">
        <f>IF($O200="","",INDEX('Project Plan'!$R$2:$R$201,MATCH($O200,'Project Plan'!$V$2:$V$201,0)))</f>
        <v/>
      </c>
      <c r="L200" s="38" t="str">
        <f>IF($O200="","",INDEX('Project Plan'!$S$2:$S$201,MATCH($O200,'Project Plan'!$V$2:$V$201,0)))</f>
        <v/>
      </c>
      <c r="M200" s="38" t="str">
        <f>IF($O200="","",INDEX('Project Plan'!$T$2:$T$201,MATCH($O200,'Project Plan'!$V$2:$V$201,0)))</f>
        <v/>
      </c>
      <c r="N200" s="94" t="str">
        <f>IF($O200="","",INDEX('Project Plan'!$U$2:$U$201,MATCH($O200,'Project Plan'!$V$2:$V$201,0)))</f>
        <v/>
      </c>
      <c r="O200" s="45" t="str">
        <f>IF(ROW()-1&lt;=MAX('Project Plan'!$V$2:$V$201),ROW()-1,"")</f>
        <v/>
      </c>
    </row>
    <row r="201" spans="1:15" ht="13.9" customHeight="1" x14ac:dyDescent="0.25">
      <c r="A201" s="95" t="str">
        <f>IF($O201="","",INDEX('Project Plan'!$A$2:$A$201,MATCH($O201,'Project Plan'!$V$2:$V$201,0)))</f>
        <v/>
      </c>
      <c r="B201" s="96" t="str">
        <f>IF($O201="","",INDEX('Project Plan'!$B$2:$B$201,MATCH($O201,'Project Plan'!$V$2:$V$201,0)))</f>
        <v/>
      </c>
      <c r="C201" s="96" t="str">
        <f>IF($O201="","",INDEX('Project Plan'!$C$2:$C$201,MATCH($O201,'Project Plan'!$V$2:$V$201,0)))</f>
        <v/>
      </c>
      <c r="D201" s="96" t="str">
        <f>IF($O201="","",INDEX('Project Plan'!$D$2:$D$201,MATCH($O201,'Project Plan'!$V$2:$V$201,0)))</f>
        <v/>
      </c>
      <c r="E201" s="96" t="str">
        <f>IF($O201="","",INDEX('Project Plan'!$G$2:$G$201,MATCH($O201,'Project Plan'!$V$2:$V$201,0)))</f>
        <v/>
      </c>
      <c r="F201" s="97" t="str">
        <f>IF($O201="","",INDEX('Project Plan'!$I$2:$I$201,MATCH($O201,'Project Plan'!$V$2:$V$201,0)))</f>
        <v/>
      </c>
      <c r="G201" s="97" t="str">
        <f>IF($O201="","",INDEX('Project Plan'!$J$2:$J$201,MATCH($O201,'Project Plan'!$V$2:$V$201,0)))</f>
        <v/>
      </c>
      <c r="H201" s="97" t="str">
        <f>IF($O201="","",INDEX('Project Plan'!$M$2:$M$201,MATCH($O201,'Project Plan'!$V$2:$V$201,0)))</f>
        <v/>
      </c>
      <c r="I201" s="96" t="str">
        <f>IF($O201="","",INDEX('Project Plan'!$N$2:$N$201,MATCH($O201,'Project Plan'!$V$2:$V$201,0)))</f>
        <v/>
      </c>
      <c r="J201" s="98" t="str">
        <f>IF($O201="","",INDEX('Project Plan'!$O$2:$O$201,MATCH($O201,'Project Plan'!$V$2:$V$201,0)))</f>
        <v/>
      </c>
      <c r="K201" s="97" t="str">
        <f>IF($O201="","",INDEX('Project Plan'!$R$2:$R$201,MATCH($O201,'Project Plan'!$V$2:$V$201,0)))</f>
        <v/>
      </c>
      <c r="L201" s="89" t="str">
        <f>IF($O201="","",INDEX('Project Plan'!$S$2:$S$201,MATCH($O201,'Project Plan'!$V$2:$V$201,0)))</f>
        <v/>
      </c>
      <c r="M201" s="89" t="str">
        <f>IF($O201="","",INDEX('Project Plan'!$T$2:$T$201,MATCH($O201,'Project Plan'!$V$2:$V$201,0)))</f>
        <v/>
      </c>
      <c r="N201" s="99" t="str">
        <f>IF($O201="","",INDEX('Project Plan'!$U$2:$U$201,MATCH($O201,'Project Plan'!$V$2:$V$201,0)))</f>
        <v/>
      </c>
      <c r="O201" s="45" t="str">
        <f>IF(ROW()-1&lt;=MAX('Project Plan'!$V$2:$V$201),ROW()-1,"")</f>
        <v/>
      </c>
    </row>
  </sheetData>
  <conditionalFormatting sqref="M2:M201">
    <cfRule type="expression" dxfId="25" priority="2">
      <formula>M2="Red"</formula>
    </cfRule>
    <cfRule type="expression" dxfId="24" priority="3">
      <formula>M2="Amber"</formula>
    </cfRule>
    <cfRule type="expression" dxfId="23" priority="4">
      <formula>M2="Green"</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S415"/>
  <sheetViews>
    <sheetView zoomScaleNormal="100" zoomScalePageLayoutView="60" workbookViewId="0">
      <selection activeCell="F4" sqref="F4"/>
    </sheetView>
  </sheetViews>
  <sheetFormatPr defaultColWidth="8.7265625" defaultRowHeight="12.75" customHeight="1" x14ac:dyDescent="0.25"/>
  <cols>
    <col min="1" max="1" width="9.54296875" customWidth="1"/>
    <col min="2" max="2" width="12" customWidth="1"/>
    <col min="3" max="3" width="18.1796875" bestFit="1" customWidth="1"/>
    <col min="4" max="4" width="13.26953125" customWidth="1"/>
    <col min="5" max="5" width="55.26953125" bestFit="1" customWidth="1"/>
    <col min="6" max="6" width="84.453125" bestFit="1" customWidth="1"/>
    <col min="7" max="7" width="70.7265625" hidden="1" customWidth="1"/>
    <col min="8" max="8" width="13.26953125" customWidth="1"/>
    <col min="9" max="9" width="22.26953125" bestFit="1" customWidth="1"/>
    <col min="10" max="10" width="14.81640625" customWidth="1"/>
    <col min="11" max="11" width="17.26953125" customWidth="1"/>
    <col min="12" max="12" width="10" customWidth="1"/>
    <col min="13" max="13" width="13.1796875" customWidth="1"/>
    <col min="14" max="14" width="10.54296875" bestFit="1" customWidth="1"/>
    <col min="15" max="15" width="19.81640625" bestFit="1" customWidth="1"/>
    <col min="16" max="16" width="13.81640625" customWidth="1"/>
    <col min="17" max="17" width="13.453125" customWidth="1"/>
    <col min="18" max="18" width="65.26953125" bestFit="1" customWidth="1"/>
    <col min="19" max="19" width="10.54296875" customWidth="1"/>
  </cols>
  <sheetData>
    <row r="1" spans="1:19" ht="12.75" customHeight="1" x14ac:dyDescent="0.25">
      <c r="A1" t="s">
        <v>130</v>
      </c>
      <c r="B1" t="s">
        <v>131</v>
      </c>
      <c r="C1" t="s">
        <v>132</v>
      </c>
      <c r="D1" t="s">
        <v>133</v>
      </c>
      <c r="E1" t="s">
        <v>134</v>
      </c>
      <c r="F1" t="s">
        <v>135</v>
      </c>
      <c r="G1" t="s">
        <v>136</v>
      </c>
      <c r="H1" t="s">
        <v>137</v>
      </c>
      <c r="I1" t="s">
        <v>138</v>
      </c>
      <c r="J1" t="s">
        <v>139</v>
      </c>
      <c r="K1" t="s">
        <v>140</v>
      </c>
      <c r="L1" t="s">
        <v>141</v>
      </c>
      <c r="M1" t="s">
        <v>142</v>
      </c>
      <c r="N1" t="s">
        <v>81</v>
      </c>
      <c r="O1" t="s">
        <v>143</v>
      </c>
      <c r="P1" t="s">
        <v>144</v>
      </c>
      <c r="Q1" t="s">
        <v>145</v>
      </c>
      <c r="R1" t="s">
        <v>146</v>
      </c>
      <c r="S1" t="s">
        <v>147</v>
      </c>
    </row>
    <row r="2" spans="1:19" ht="29" x14ac:dyDescent="0.35">
      <c r="A2" s="70">
        <v>1</v>
      </c>
      <c r="B2" s="107" t="s">
        <v>148</v>
      </c>
      <c r="C2" s="70" t="s">
        <v>149</v>
      </c>
      <c r="D2" s="70" t="s">
        <v>150</v>
      </c>
      <c r="E2" s="107" t="s">
        <v>384</v>
      </c>
      <c r="F2" s="107" t="s">
        <v>384</v>
      </c>
      <c r="G2" s="70"/>
      <c r="H2" s="113">
        <v>46193</v>
      </c>
      <c r="I2" s="107" t="s">
        <v>418</v>
      </c>
      <c r="J2" s="70" t="s">
        <v>155</v>
      </c>
      <c r="K2" s="70" t="s">
        <v>155</v>
      </c>
      <c r="L2" s="107" t="s">
        <v>14</v>
      </c>
      <c r="M2" s="114" t="s">
        <v>430</v>
      </c>
      <c r="N2" s="70" t="s">
        <v>241</v>
      </c>
      <c r="O2" s="70" t="s">
        <v>153</v>
      </c>
      <c r="P2" s="71"/>
      <c r="Q2" s="114" t="s">
        <v>430</v>
      </c>
      <c r="R2" s="107" t="s">
        <v>401</v>
      </c>
      <c r="S2" s="70"/>
    </row>
    <row r="3" spans="1:19" ht="14.5" x14ac:dyDescent="0.35">
      <c r="A3" s="70">
        <v>2</v>
      </c>
      <c r="B3" s="107" t="s">
        <v>163</v>
      </c>
      <c r="C3" s="70" t="s">
        <v>154</v>
      </c>
      <c r="D3" s="70" t="s">
        <v>150</v>
      </c>
      <c r="E3" s="107" t="s">
        <v>385</v>
      </c>
      <c r="F3" s="107" t="s">
        <v>385</v>
      </c>
      <c r="G3" s="70"/>
      <c r="H3" s="102">
        <v>45855</v>
      </c>
      <c r="I3" s="107" t="s">
        <v>419</v>
      </c>
      <c r="J3" s="70" t="s">
        <v>155</v>
      </c>
      <c r="K3" s="70" t="s">
        <v>155</v>
      </c>
      <c r="L3" s="107" t="s">
        <v>14</v>
      </c>
      <c r="M3" s="114" t="s">
        <v>431</v>
      </c>
      <c r="N3" s="70" t="s">
        <v>241</v>
      </c>
      <c r="O3" s="70" t="s">
        <v>161</v>
      </c>
      <c r="P3" s="71"/>
      <c r="Q3" s="114" t="s">
        <v>431</v>
      </c>
      <c r="R3" s="107" t="s">
        <v>402</v>
      </c>
      <c r="S3" s="70"/>
    </row>
    <row r="4" spans="1:19" ht="29" x14ac:dyDescent="0.35">
      <c r="A4" s="70">
        <v>3</v>
      </c>
      <c r="B4" s="107" t="s">
        <v>163</v>
      </c>
      <c r="C4" s="70" t="s">
        <v>156</v>
      </c>
      <c r="D4" s="70" t="s">
        <v>150</v>
      </c>
      <c r="E4" s="108" t="s">
        <v>386</v>
      </c>
      <c r="F4" s="108" t="s">
        <v>386</v>
      </c>
      <c r="G4" s="70"/>
      <c r="H4" s="102">
        <v>45855</v>
      </c>
      <c r="I4" s="107" t="s">
        <v>420</v>
      </c>
      <c r="J4" s="70" t="s">
        <v>157</v>
      </c>
      <c r="K4" s="70" t="s">
        <v>157</v>
      </c>
      <c r="L4" s="107" t="s">
        <v>14</v>
      </c>
      <c r="M4" s="107" t="s">
        <v>432</v>
      </c>
      <c r="N4" s="70" t="s">
        <v>241</v>
      </c>
      <c r="O4" s="70" t="s">
        <v>437</v>
      </c>
      <c r="P4" s="71"/>
      <c r="Q4" s="107" t="s">
        <v>432</v>
      </c>
      <c r="R4" s="107" t="s">
        <v>403</v>
      </c>
      <c r="S4" s="70"/>
    </row>
    <row r="5" spans="1:19" ht="29" x14ac:dyDescent="0.35">
      <c r="A5" s="70">
        <v>4</v>
      </c>
      <c r="B5" s="107" t="s">
        <v>163</v>
      </c>
      <c r="C5" s="70" t="s">
        <v>159</v>
      </c>
      <c r="D5" s="70" t="s">
        <v>150</v>
      </c>
      <c r="E5" s="107" t="s">
        <v>387</v>
      </c>
      <c r="F5" s="107" t="s">
        <v>387</v>
      </c>
      <c r="G5" s="70"/>
      <c r="H5" s="102">
        <v>45859</v>
      </c>
      <c r="I5" s="107" t="s">
        <v>421</v>
      </c>
      <c r="J5" s="70" t="s">
        <v>166</v>
      </c>
      <c r="K5" s="70" t="s">
        <v>166</v>
      </c>
      <c r="L5" s="107" t="s">
        <v>14</v>
      </c>
      <c r="M5" s="107" t="s">
        <v>431</v>
      </c>
      <c r="N5" s="70" t="s">
        <v>241</v>
      </c>
      <c r="O5" s="70" t="s">
        <v>153</v>
      </c>
      <c r="P5" s="71"/>
      <c r="Q5" s="107" t="s">
        <v>431</v>
      </c>
      <c r="R5" s="107" t="s">
        <v>404</v>
      </c>
      <c r="S5" s="70"/>
    </row>
    <row r="6" spans="1:19" ht="14.5" x14ac:dyDescent="0.35">
      <c r="A6" s="70">
        <v>5</v>
      </c>
      <c r="B6" s="107" t="s">
        <v>163</v>
      </c>
      <c r="C6" s="70" t="s">
        <v>156</v>
      </c>
      <c r="D6" s="70" t="s">
        <v>150</v>
      </c>
      <c r="E6" s="108" t="s">
        <v>388</v>
      </c>
      <c r="F6" s="108" t="s">
        <v>388</v>
      </c>
      <c r="G6" s="70"/>
      <c r="H6" s="102">
        <v>45859</v>
      </c>
      <c r="I6" s="107" t="s">
        <v>422</v>
      </c>
      <c r="J6" s="70" t="s">
        <v>166</v>
      </c>
      <c r="K6" s="70" t="s">
        <v>166</v>
      </c>
      <c r="L6" s="107" t="s">
        <v>14</v>
      </c>
      <c r="M6" s="107" t="s">
        <v>431</v>
      </c>
      <c r="N6" s="70" t="s">
        <v>241</v>
      </c>
      <c r="O6" s="70" t="s">
        <v>161</v>
      </c>
      <c r="P6" s="71"/>
      <c r="Q6" s="107" t="s">
        <v>431</v>
      </c>
      <c r="R6" s="107" t="s">
        <v>405</v>
      </c>
      <c r="S6" s="70"/>
    </row>
    <row r="7" spans="1:19" ht="29" x14ac:dyDescent="0.35">
      <c r="A7" s="70">
        <v>6</v>
      </c>
      <c r="B7" s="107" t="s">
        <v>163</v>
      </c>
      <c r="C7" s="70" t="s">
        <v>159</v>
      </c>
      <c r="D7" s="70" t="s">
        <v>150</v>
      </c>
      <c r="E7" s="107" t="s">
        <v>389</v>
      </c>
      <c r="F7" s="107" t="s">
        <v>389</v>
      </c>
      <c r="G7" s="70"/>
      <c r="H7" s="102">
        <v>45859</v>
      </c>
      <c r="I7" s="107" t="s">
        <v>423</v>
      </c>
      <c r="J7" s="70" t="s">
        <v>166</v>
      </c>
      <c r="K7" s="70" t="s">
        <v>166</v>
      </c>
      <c r="L7" s="107" t="s">
        <v>14</v>
      </c>
      <c r="M7" s="107" t="s">
        <v>431</v>
      </c>
      <c r="N7" s="70" t="s">
        <v>241</v>
      </c>
      <c r="O7" s="70" t="s">
        <v>437</v>
      </c>
      <c r="P7" s="71"/>
      <c r="Q7" s="107" t="s">
        <v>431</v>
      </c>
      <c r="R7" s="107" t="s">
        <v>406</v>
      </c>
      <c r="S7" s="70"/>
    </row>
    <row r="8" spans="1:19" ht="14.5" x14ac:dyDescent="0.25">
      <c r="A8" s="70">
        <v>7</v>
      </c>
      <c r="B8" s="107" t="s">
        <v>163</v>
      </c>
      <c r="C8" s="70" t="s">
        <v>162</v>
      </c>
      <c r="D8" s="70" t="s">
        <v>150</v>
      </c>
      <c r="E8" s="108" t="s">
        <v>390</v>
      </c>
      <c r="F8" s="108" t="s">
        <v>390</v>
      </c>
      <c r="G8" s="70"/>
      <c r="H8" s="102">
        <v>45862</v>
      </c>
      <c r="I8" s="108" t="s">
        <v>419</v>
      </c>
      <c r="J8" s="70" t="s">
        <v>166</v>
      </c>
      <c r="K8" s="70" t="s">
        <v>166</v>
      </c>
      <c r="L8" s="108" t="s">
        <v>160</v>
      </c>
      <c r="M8" s="108" t="s">
        <v>417</v>
      </c>
      <c r="N8" s="70" t="s">
        <v>241</v>
      </c>
      <c r="O8" s="70" t="s">
        <v>153</v>
      </c>
      <c r="P8" s="72"/>
      <c r="Q8" s="108" t="s">
        <v>417</v>
      </c>
      <c r="R8" s="111" t="s">
        <v>407</v>
      </c>
      <c r="S8" s="70"/>
    </row>
    <row r="9" spans="1:19" ht="14.5" x14ac:dyDescent="0.25">
      <c r="A9" s="70">
        <v>8</v>
      </c>
      <c r="B9" s="107" t="s">
        <v>163</v>
      </c>
      <c r="C9" s="70" t="s">
        <v>156</v>
      </c>
      <c r="D9" s="70" t="s">
        <v>150</v>
      </c>
      <c r="E9" s="108" t="s">
        <v>391</v>
      </c>
      <c r="F9" s="108" t="s">
        <v>391</v>
      </c>
      <c r="G9" s="70"/>
      <c r="H9" s="102">
        <v>45862</v>
      </c>
      <c r="I9" s="108" t="s">
        <v>423</v>
      </c>
      <c r="J9" s="70" t="s">
        <v>151</v>
      </c>
      <c r="K9" s="70" t="s">
        <v>151</v>
      </c>
      <c r="L9" s="108" t="s">
        <v>160</v>
      </c>
      <c r="M9" s="108" t="s">
        <v>417</v>
      </c>
      <c r="N9" s="70" t="s">
        <v>241</v>
      </c>
      <c r="O9" s="70" t="s">
        <v>161</v>
      </c>
      <c r="P9" s="72"/>
      <c r="Q9" s="108" t="s">
        <v>417</v>
      </c>
      <c r="R9" s="112" t="s">
        <v>408</v>
      </c>
      <c r="S9" s="70"/>
    </row>
    <row r="10" spans="1:19" ht="14.5" x14ac:dyDescent="0.25">
      <c r="A10" s="70">
        <v>9</v>
      </c>
      <c r="B10" s="107" t="s">
        <v>163</v>
      </c>
      <c r="C10" s="70" t="s">
        <v>154</v>
      </c>
      <c r="D10" s="70" t="s">
        <v>150</v>
      </c>
      <c r="E10" s="108" t="s">
        <v>392</v>
      </c>
      <c r="F10" s="108" t="s">
        <v>392</v>
      </c>
      <c r="G10" s="70"/>
      <c r="H10" s="102">
        <v>45862</v>
      </c>
      <c r="I10" s="110" t="s">
        <v>424</v>
      </c>
      <c r="J10" s="70" t="s">
        <v>166</v>
      </c>
      <c r="K10" s="70" t="s">
        <v>166</v>
      </c>
      <c r="L10" s="110" t="s">
        <v>160</v>
      </c>
      <c r="M10" s="110" t="s">
        <v>433</v>
      </c>
      <c r="N10" s="70" t="s">
        <v>241</v>
      </c>
      <c r="O10" s="70" t="s">
        <v>437</v>
      </c>
      <c r="P10" s="72"/>
      <c r="Q10" s="110" t="s">
        <v>433</v>
      </c>
      <c r="R10" s="110" t="s">
        <v>409</v>
      </c>
      <c r="S10" s="70"/>
    </row>
    <row r="11" spans="1:19" ht="14.5" x14ac:dyDescent="0.35">
      <c r="A11" s="70">
        <v>10</v>
      </c>
      <c r="B11" s="107" t="s">
        <v>163</v>
      </c>
      <c r="C11" s="70" t="s">
        <v>156</v>
      </c>
      <c r="D11" s="70" t="s">
        <v>150</v>
      </c>
      <c r="E11" s="108" t="s">
        <v>393</v>
      </c>
      <c r="F11" s="108" t="s">
        <v>393</v>
      </c>
      <c r="G11" s="70"/>
      <c r="H11" s="102">
        <v>45862</v>
      </c>
      <c r="I11" s="110" t="s">
        <v>425</v>
      </c>
      <c r="J11" s="70" t="s">
        <v>157</v>
      </c>
      <c r="K11" s="70" t="s">
        <v>157</v>
      </c>
      <c r="L11" s="110" t="s">
        <v>152</v>
      </c>
      <c r="M11" s="110" t="s">
        <v>431</v>
      </c>
      <c r="N11" s="70" t="s">
        <v>241</v>
      </c>
      <c r="O11" s="70" t="s">
        <v>153</v>
      </c>
      <c r="P11" s="71"/>
      <c r="Q11" s="110" t="s">
        <v>431</v>
      </c>
      <c r="R11" s="110" t="s">
        <v>410</v>
      </c>
      <c r="S11" s="70"/>
    </row>
    <row r="12" spans="1:19" ht="14.5" x14ac:dyDescent="0.35">
      <c r="A12" s="70">
        <v>11</v>
      </c>
      <c r="B12" s="107" t="s">
        <v>163</v>
      </c>
      <c r="C12" s="70" t="s">
        <v>156</v>
      </c>
      <c r="D12" s="70" t="s">
        <v>150</v>
      </c>
      <c r="E12" s="108" t="s">
        <v>394</v>
      </c>
      <c r="F12" s="108" t="s">
        <v>394</v>
      </c>
      <c r="G12" s="70"/>
      <c r="H12" s="102">
        <v>45862</v>
      </c>
      <c r="I12" s="110" t="s">
        <v>419</v>
      </c>
      <c r="J12" s="70" t="s">
        <v>151</v>
      </c>
      <c r="K12" s="70" t="s">
        <v>151</v>
      </c>
      <c r="L12" s="110" t="s">
        <v>160</v>
      </c>
      <c r="M12" s="110" t="s">
        <v>417</v>
      </c>
      <c r="N12" s="70" t="s">
        <v>241</v>
      </c>
      <c r="O12" s="70" t="s">
        <v>161</v>
      </c>
      <c r="P12" s="71"/>
      <c r="Q12" s="110" t="s">
        <v>417</v>
      </c>
      <c r="R12" s="110" t="s">
        <v>411</v>
      </c>
      <c r="S12" s="70"/>
    </row>
    <row r="13" spans="1:19" ht="14.5" x14ac:dyDescent="0.25">
      <c r="A13" s="70">
        <v>12</v>
      </c>
      <c r="B13" s="107" t="s">
        <v>163</v>
      </c>
      <c r="C13" s="70" t="s">
        <v>154</v>
      </c>
      <c r="D13" s="70" t="s">
        <v>150</v>
      </c>
      <c r="E13" s="108" t="s">
        <v>395</v>
      </c>
      <c r="F13" s="108" t="s">
        <v>395</v>
      </c>
      <c r="G13" s="70"/>
      <c r="H13" s="102">
        <v>45866</v>
      </c>
      <c r="I13" s="110" t="s">
        <v>426</v>
      </c>
      <c r="J13" s="70" t="s">
        <v>166</v>
      </c>
      <c r="K13" s="70" t="s">
        <v>166</v>
      </c>
      <c r="L13" s="110" t="s">
        <v>160</v>
      </c>
      <c r="M13" s="110" t="s">
        <v>434</v>
      </c>
      <c r="N13" s="70" t="s">
        <v>241</v>
      </c>
      <c r="O13" s="70" t="s">
        <v>437</v>
      </c>
      <c r="P13" s="72"/>
      <c r="Q13" s="110" t="s">
        <v>434</v>
      </c>
      <c r="R13" s="110" t="s">
        <v>412</v>
      </c>
      <c r="S13" s="70"/>
    </row>
    <row r="14" spans="1:19" ht="137.5" x14ac:dyDescent="0.25">
      <c r="A14" s="70">
        <v>13</v>
      </c>
      <c r="B14" s="107" t="s">
        <v>163</v>
      </c>
      <c r="C14" s="70" t="s">
        <v>154</v>
      </c>
      <c r="D14" s="70" t="s">
        <v>150</v>
      </c>
      <c r="E14" s="109" t="s">
        <v>396</v>
      </c>
      <c r="F14" s="109" t="s">
        <v>396</v>
      </c>
      <c r="G14" s="70"/>
      <c r="H14" s="102">
        <v>45866</v>
      </c>
      <c r="I14" s="110" t="s">
        <v>426</v>
      </c>
      <c r="J14" s="70" t="s">
        <v>166</v>
      </c>
      <c r="K14" s="70" t="s">
        <v>166</v>
      </c>
      <c r="L14" s="110" t="s">
        <v>160</v>
      </c>
      <c r="M14" s="115" t="s">
        <v>434</v>
      </c>
      <c r="N14" s="70" t="s">
        <v>241</v>
      </c>
      <c r="O14" s="70" t="s">
        <v>153</v>
      </c>
      <c r="P14" s="72"/>
      <c r="Q14" s="115" t="s">
        <v>434</v>
      </c>
      <c r="R14" s="110" t="s">
        <v>413</v>
      </c>
      <c r="S14" s="70"/>
    </row>
    <row r="15" spans="1:19" ht="14.5" x14ac:dyDescent="0.35">
      <c r="A15" s="70">
        <v>14</v>
      </c>
      <c r="B15" s="107" t="s">
        <v>163</v>
      </c>
      <c r="C15" s="70" t="s">
        <v>154</v>
      </c>
      <c r="D15" s="70" t="s">
        <v>150</v>
      </c>
      <c r="E15" s="110" t="s">
        <v>397</v>
      </c>
      <c r="F15" s="110" t="s">
        <v>397</v>
      </c>
      <c r="G15" s="70"/>
      <c r="H15" s="102">
        <v>45875</v>
      </c>
      <c r="I15" s="110" t="s">
        <v>419</v>
      </c>
      <c r="J15" s="70" t="s">
        <v>166</v>
      </c>
      <c r="K15" s="70" t="s">
        <v>166</v>
      </c>
      <c r="L15" s="110" t="s">
        <v>14</v>
      </c>
      <c r="M15" s="110" t="s">
        <v>435</v>
      </c>
      <c r="N15" s="70" t="s">
        <v>241</v>
      </c>
      <c r="O15" s="70" t="s">
        <v>161</v>
      </c>
      <c r="P15" s="71"/>
      <c r="Q15" s="110" t="s">
        <v>435</v>
      </c>
      <c r="R15" s="110"/>
      <c r="S15" s="70"/>
    </row>
    <row r="16" spans="1:19" ht="14.5" x14ac:dyDescent="0.35">
      <c r="A16" s="70">
        <v>15</v>
      </c>
      <c r="B16" s="107" t="s">
        <v>163</v>
      </c>
      <c r="C16" s="70" t="s">
        <v>164</v>
      </c>
      <c r="D16" s="70" t="s">
        <v>150</v>
      </c>
      <c r="E16" s="110" t="s">
        <v>398</v>
      </c>
      <c r="F16" s="110" t="s">
        <v>398</v>
      </c>
      <c r="G16" s="70"/>
      <c r="H16" s="102">
        <v>45880</v>
      </c>
      <c r="I16" s="106" t="s">
        <v>427</v>
      </c>
      <c r="J16" s="70" t="s">
        <v>166</v>
      </c>
      <c r="K16" s="70" t="s">
        <v>166</v>
      </c>
      <c r="L16" s="106" t="s">
        <v>14</v>
      </c>
      <c r="M16" s="106" t="s">
        <v>434</v>
      </c>
      <c r="N16" s="70" t="s">
        <v>241</v>
      </c>
      <c r="O16" s="70" t="s">
        <v>437</v>
      </c>
      <c r="P16" s="71"/>
      <c r="Q16" s="106" t="s">
        <v>434</v>
      </c>
      <c r="R16" s="106" t="s">
        <v>414</v>
      </c>
      <c r="S16" s="70"/>
    </row>
    <row r="17" spans="1:19" ht="14.5" x14ac:dyDescent="0.35">
      <c r="A17" s="70">
        <v>16</v>
      </c>
      <c r="B17" s="107" t="s">
        <v>163</v>
      </c>
      <c r="C17" s="70" t="s">
        <v>162</v>
      </c>
      <c r="D17" s="70" t="s">
        <v>150</v>
      </c>
      <c r="E17" s="108" t="s">
        <v>399</v>
      </c>
      <c r="F17" s="108" t="s">
        <v>399</v>
      </c>
      <c r="G17" s="70"/>
      <c r="H17" s="102">
        <v>45880</v>
      </c>
      <c r="I17" s="106" t="s">
        <v>428</v>
      </c>
      <c r="J17" s="70" t="s">
        <v>166</v>
      </c>
      <c r="K17" s="70" t="s">
        <v>166</v>
      </c>
      <c r="L17" s="106" t="s">
        <v>14</v>
      </c>
      <c r="M17" s="106" t="s">
        <v>436</v>
      </c>
      <c r="N17" s="70" t="s">
        <v>241</v>
      </c>
      <c r="O17" s="70" t="s">
        <v>161</v>
      </c>
      <c r="P17" s="71"/>
      <c r="Q17" s="106" t="s">
        <v>436</v>
      </c>
      <c r="R17" s="106" t="s">
        <v>415</v>
      </c>
      <c r="S17" s="70"/>
    </row>
    <row r="18" spans="1:19" ht="14.5" x14ac:dyDescent="0.35">
      <c r="A18" s="70">
        <v>17</v>
      </c>
      <c r="B18" s="107" t="s">
        <v>163</v>
      </c>
      <c r="C18" s="70" t="s">
        <v>156</v>
      </c>
      <c r="D18" s="70" t="s">
        <v>150</v>
      </c>
      <c r="E18" t="s">
        <v>400</v>
      </c>
      <c r="F18" t="s">
        <v>400</v>
      </c>
      <c r="G18" s="70"/>
      <c r="H18" s="102">
        <v>45881</v>
      </c>
      <c r="I18" t="s">
        <v>429</v>
      </c>
      <c r="J18" s="70" t="s">
        <v>166</v>
      </c>
      <c r="K18" s="70" t="s">
        <v>166</v>
      </c>
      <c r="L18" t="s">
        <v>14</v>
      </c>
      <c r="M18" t="s">
        <v>434</v>
      </c>
      <c r="N18" s="70" t="s">
        <v>241</v>
      </c>
      <c r="O18" s="70" t="s">
        <v>437</v>
      </c>
      <c r="P18" s="71"/>
      <c r="Q18" t="s">
        <v>434</v>
      </c>
      <c r="R18" t="s">
        <v>416</v>
      </c>
      <c r="S18" s="70"/>
    </row>
    <row r="19" spans="1:19" ht="14.5" x14ac:dyDescent="0.35">
      <c r="A19" s="70">
        <v>18</v>
      </c>
      <c r="B19" s="70" t="s">
        <v>124</v>
      </c>
      <c r="C19" s="70" t="s">
        <v>164</v>
      </c>
      <c r="D19" s="70" t="s">
        <v>150</v>
      </c>
      <c r="E19" s="70"/>
      <c r="F19" s="70"/>
      <c r="G19" s="70"/>
      <c r="H19" s="71"/>
      <c r="I19" s="70"/>
      <c r="J19" s="70"/>
      <c r="K19" s="70"/>
      <c r="L19" s="70"/>
      <c r="M19" s="72"/>
      <c r="N19" s="70"/>
      <c r="O19" s="70"/>
      <c r="P19" s="71"/>
      <c r="Q19" s="70"/>
      <c r="R19" s="70"/>
      <c r="S19" s="70"/>
    </row>
    <row r="20" spans="1:19" ht="14.5" x14ac:dyDescent="0.35">
      <c r="A20" s="70">
        <v>19</v>
      </c>
      <c r="B20" s="70" t="s">
        <v>124</v>
      </c>
      <c r="C20" s="70" t="s">
        <v>159</v>
      </c>
      <c r="D20" s="70" t="s">
        <v>150</v>
      </c>
      <c r="E20" s="70"/>
      <c r="F20" s="70"/>
      <c r="G20" s="70"/>
      <c r="H20" s="71"/>
      <c r="I20" s="70"/>
      <c r="J20" s="70"/>
      <c r="K20" s="70"/>
      <c r="L20" s="70"/>
      <c r="M20" s="72"/>
      <c r="N20" s="70"/>
      <c r="O20" s="70"/>
      <c r="P20" s="71"/>
      <c r="Q20" s="70"/>
      <c r="R20" s="70"/>
      <c r="S20" s="70"/>
    </row>
    <row r="21" spans="1:19" ht="14.5" x14ac:dyDescent="0.35">
      <c r="A21" s="70">
        <v>20</v>
      </c>
      <c r="B21" s="70" t="s">
        <v>124</v>
      </c>
      <c r="C21" s="70" t="s">
        <v>154</v>
      </c>
      <c r="D21" s="70" t="s">
        <v>150</v>
      </c>
      <c r="E21" s="70"/>
      <c r="F21" s="70"/>
      <c r="G21" s="70"/>
      <c r="H21" s="71"/>
      <c r="I21" s="70"/>
      <c r="J21" s="70"/>
      <c r="K21" s="70"/>
      <c r="L21" s="70"/>
      <c r="M21" s="72"/>
      <c r="N21" s="70"/>
      <c r="O21" s="70"/>
      <c r="P21" s="71"/>
      <c r="Q21" s="70"/>
      <c r="R21" s="70"/>
      <c r="S21" s="70"/>
    </row>
    <row r="22" spans="1:19" ht="14.5" x14ac:dyDescent="0.35">
      <c r="A22" s="70">
        <v>21</v>
      </c>
      <c r="B22" s="70" t="s">
        <v>124</v>
      </c>
      <c r="C22" s="70" t="s">
        <v>162</v>
      </c>
      <c r="D22" s="70" t="s">
        <v>150</v>
      </c>
      <c r="E22" s="70"/>
      <c r="F22" s="70"/>
      <c r="G22" s="70"/>
      <c r="H22" s="71"/>
      <c r="I22" s="70"/>
      <c r="J22" s="70"/>
      <c r="K22" s="70"/>
      <c r="L22" s="70"/>
      <c r="M22" s="72"/>
      <c r="N22" s="70"/>
      <c r="O22" s="70"/>
      <c r="P22" s="72"/>
      <c r="Q22" s="70"/>
      <c r="R22" s="70"/>
      <c r="S22" s="70"/>
    </row>
    <row r="23" spans="1:19" ht="14.5" x14ac:dyDescent="0.35">
      <c r="A23" s="70">
        <v>22</v>
      </c>
      <c r="B23" s="70" t="s">
        <v>124</v>
      </c>
      <c r="C23" s="70" t="s">
        <v>162</v>
      </c>
      <c r="D23" s="70" t="s">
        <v>167</v>
      </c>
      <c r="E23" s="70"/>
      <c r="F23" s="70"/>
      <c r="G23" s="70"/>
      <c r="H23" s="71"/>
      <c r="I23" s="70"/>
      <c r="J23" s="70"/>
      <c r="K23" s="70"/>
      <c r="L23" s="70"/>
      <c r="M23" s="72"/>
      <c r="N23" s="70"/>
      <c r="O23" s="70"/>
      <c r="P23" s="72"/>
      <c r="Q23" s="70"/>
      <c r="R23" s="70"/>
      <c r="S23" s="70"/>
    </row>
    <row r="24" spans="1:19" ht="14.5" x14ac:dyDescent="0.35">
      <c r="A24" s="70">
        <v>23</v>
      </c>
      <c r="B24" s="70" t="s">
        <v>124</v>
      </c>
      <c r="C24" s="70" t="s">
        <v>154</v>
      </c>
      <c r="D24" s="70" t="s">
        <v>150</v>
      </c>
      <c r="E24" s="70"/>
      <c r="F24" s="70"/>
      <c r="G24" s="70"/>
      <c r="H24" s="71"/>
      <c r="I24" s="70"/>
      <c r="J24" s="70"/>
      <c r="K24" s="70"/>
      <c r="L24" s="70"/>
      <c r="M24" s="72"/>
      <c r="N24" s="70"/>
      <c r="O24" s="70"/>
      <c r="P24" s="72"/>
      <c r="Q24" s="70"/>
      <c r="R24" s="70"/>
      <c r="S24" s="70"/>
    </row>
    <row r="25" spans="1:19" ht="14.5" x14ac:dyDescent="0.35">
      <c r="A25" s="70">
        <v>24</v>
      </c>
      <c r="B25" s="70" t="s">
        <v>124</v>
      </c>
      <c r="C25" s="70" t="s">
        <v>154</v>
      </c>
      <c r="D25" s="70" t="s">
        <v>150</v>
      </c>
      <c r="E25" s="70"/>
      <c r="F25" s="70"/>
      <c r="G25" s="70"/>
      <c r="H25" s="71"/>
      <c r="I25" s="70"/>
      <c r="J25" s="70"/>
      <c r="K25" s="70"/>
      <c r="L25" s="70"/>
      <c r="M25" s="72"/>
      <c r="N25" s="70"/>
      <c r="O25" s="70"/>
      <c r="P25" s="72"/>
      <c r="Q25" s="70"/>
      <c r="R25" s="70"/>
      <c r="S25" s="70"/>
    </row>
    <row r="26" spans="1:19" ht="26" x14ac:dyDescent="0.35">
      <c r="A26" s="70">
        <v>25</v>
      </c>
      <c r="B26" s="70" t="s">
        <v>124</v>
      </c>
      <c r="C26" s="70" t="s">
        <v>159</v>
      </c>
      <c r="D26" s="70" t="s">
        <v>159</v>
      </c>
      <c r="E26" s="70"/>
      <c r="F26" s="70"/>
      <c r="G26" s="70"/>
      <c r="H26" s="71"/>
      <c r="I26" s="70"/>
      <c r="J26" s="70"/>
      <c r="K26" s="70"/>
      <c r="L26" s="70"/>
      <c r="M26" s="72"/>
      <c r="N26" s="70"/>
      <c r="O26" s="70"/>
      <c r="P26" s="72"/>
      <c r="Q26" s="70"/>
      <c r="R26" s="70"/>
      <c r="S26" s="70"/>
    </row>
    <row r="27" spans="1:19" ht="14.5" x14ac:dyDescent="0.35">
      <c r="A27" s="70">
        <v>26</v>
      </c>
      <c r="B27" s="70" t="s">
        <v>124</v>
      </c>
      <c r="C27" s="70" t="s">
        <v>159</v>
      </c>
      <c r="D27" s="70" t="s">
        <v>150</v>
      </c>
      <c r="E27" s="70"/>
      <c r="F27" s="70"/>
      <c r="G27" s="70"/>
      <c r="H27" s="71"/>
      <c r="I27" s="70"/>
      <c r="J27" s="70"/>
      <c r="K27" s="70"/>
      <c r="L27" s="70"/>
      <c r="M27" s="72"/>
      <c r="N27" s="70"/>
      <c r="O27" s="70"/>
      <c r="P27" s="72"/>
      <c r="Q27" s="70"/>
      <c r="R27" s="70"/>
      <c r="S27" s="70"/>
    </row>
    <row r="28" spans="1:19" ht="14.5" x14ac:dyDescent="0.35">
      <c r="A28" s="70">
        <v>27</v>
      </c>
      <c r="B28" s="70" t="s">
        <v>124</v>
      </c>
      <c r="C28" s="70" t="s">
        <v>154</v>
      </c>
      <c r="D28" s="70" t="s">
        <v>150</v>
      </c>
      <c r="E28" s="70"/>
      <c r="F28" s="70"/>
      <c r="G28" s="70"/>
      <c r="H28" s="71"/>
      <c r="I28" s="70"/>
      <c r="J28" s="70"/>
      <c r="K28" s="70"/>
      <c r="L28" s="70"/>
      <c r="M28" s="72"/>
      <c r="N28" s="70"/>
      <c r="O28" s="70"/>
      <c r="P28" s="72"/>
      <c r="Q28" s="70"/>
      <c r="R28" s="70"/>
      <c r="S28" s="70"/>
    </row>
    <row r="29" spans="1:19" ht="14.5" x14ac:dyDescent="0.35">
      <c r="A29" s="70">
        <v>28</v>
      </c>
      <c r="B29" s="70" t="s">
        <v>124</v>
      </c>
      <c r="C29" s="70" t="s">
        <v>154</v>
      </c>
      <c r="D29" s="70" t="s">
        <v>150</v>
      </c>
      <c r="E29" s="70"/>
      <c r="F29" s="70"/>
      <c r="G29" s="70"/>
      <c r="H29" s="71"/>
      <c r="I29" s="70"/>
      <c r="J29" s="70"/>
      <c r="K29" s="70"/>
      <c r="L29" s="70"/>
      <c r="M29" s="72"/>
      <c r="N29" s="70"/>
      <c r="O29" s="70"/>
      <c r="P29" s="72"/>
      <c r="Q29" s="70"/>
      <c r="R29" s="70"/>
      <c r="S29" s="70"/>
    </row>
    <row r="30" spans="1:19" ht="12.5" x14ac:dyDescent="0.25">
      <c r="A30">
        <v>29</v>
      </c>
      <c r="B30" t="s">
        <v>124</v>
      </c>
      <c r="C30" t="s">
        <v>156</v>
      </c>
      <c r="D30" t="s">
        <v>150</v>
      </c>
      <c r="H30" s="102"/>
      <c r="M30" s="102"/>
      <c r="P30" s="102"/>
    </row>
    <row r="31" spans="1:19" ht="12.5" x14ac:dyDescent="0.25">
      <c r="A31">
        <v>30</v>
      </c>
      <c r="B31" t="s">
        <v>124</v>
      </c>
      <c r="C31" t="s">
        <v>154</v>
      </c>
      <c r="D31" t="s">
        <v>150</v>
      </c>
      <c r="H31" s="102"/>
      <c r="M31" s="102"/>
      <c r="P31" s="102"/>
    </row>
    <row r="32" spans="1:19" ht="12.5" x14ac:dyDescent="0.25">
      <c r="A32">
        <v>31</v>
      </c>
      <c r="B32" t="s">
        <v>124</v>
      </c>
      <c r="C32" t="s">
        <v>154</v>
      </c>
      <c r="D32" t="s">
        <v>150</v>
      </c>
      <c r="H32" s="102"/>
      <c r="M32" s="102"/>
      <c r="P32" s="102"/>
    </row>
    <row r="33" spans="1:19" ht="12.5" x14ac:dyDescent="0.25">
      <c r="A33">
        <v>32</v>
      </c>
      <c r="B33" t="s">
        <v>124</v>
      </c>
      <c r="C33" t="s">
        <v>154</v>
      </c>
      <c r="D33" t="s">
        <v>150</v>
      </c>
      <c r="H33" s="102"/>
      <c r="M33" s="102"/>
      <c r="P33" s="102"/>
    </row>
    <row r="34" spans="1:19" ht="12.5" x14ac:dyDescent="0.25">
      <c r="A34">
        <v>33</v>
      </c>
      <c r="B34" t="s">
        <v>148</v>
      </c>
      <c r="C34" t="s">
        <v>162</v>
      </c>
      <c r="D34" t="s">
        <v>150</v>
      </c>
      <c r="H34" s="102"/>
      <c r="M34" s="102"/>
      <c r="P34" s="102"/>
    </row>
    <row r="35" spans="1:19" ht="12.5" x14ac:dyDescent="0.25">
      <c r="A35">
        <v>34</v>
      </c>
      <c r="B35" t="s">
        <v>163</v>
      </c>
      <c r="C35" t="s">
        <v>154</v>
      </c>
      <c r="D35" t="s">
        <v>150</v>
      </c>
      <c r="H35" s="102"/>
      <c r="M35" s="102"/>
      <c r="P35" s="102"/>
    </row>
    <row r="36" spans="1:19" ht="12.5" x14ac:dyDescent="0.25">
      <c r="A36">
        <v>35</v>
      </c>
      <c r="B36" t="s">
        <v>124</v>
      </c>
      <c r="C36" t="s">
        <v>162</v>
      </c>
      <c r="D36" t="s">
        <v>150</v>
      </c>
      <c r="H36" s="102"/>
      <c r="M36" s="102"/>
      <c r="P36" s="102"/>
    </row>
    <row r="37" spans="1:19" ht="12.5" x14ac:dyDescent="0.25">
      <c r="A37">
        <v>36</v>
      </c>
      <c r="B37" t="s">
        <v>124</v>
      </c>
      <c r="C37" t="s">
        <v>162</v>
      </c>
      <c r="D37" t="s">
        <v>150</v>
      </c>
      <c r="H37" s="102"/>
      <c r="M37" s="102"/>
      <c r="P37" s="102"/>
    </row>
    <row r="38" spans="1:19" ht="14.5" x14ac:dyDescent="0.35">
      <c r="A38" s="70"/>
      <c r="B38" s="70"/>
      <c r="C38" s="70"/>
      <c r="D38" s="70"/>
      <c r="E38" s="70"/>
      <c r="F38" s="70"/>
      <c r="G38" s="70"/>
      <c r="H38" s="71"/>
      <c r="I38" s="70"/>
      <c r="J38" s="70"/>
      <c r="K38" s="70"/>
      <c r="L38" s="70"/>
      <c r="M38" s="72"/>
      <c r="N38" s="70"/>
      <c r="O38" s="70"/>
      <c r="P38" s="72"/>
      <c r="Q38" s="70"/>
      <c r="R38" s="70"/>
      <c r="S38" s="70" t="str">
        <f>IF($B38="Risk",COUNTIF($B$2:B38,"Risk"),"")</f>
        <v/>
      </c>
    </row>
    <row r="39" spans="1:19" ht="14.5" x14ac:dyDescent="0.35">
      <c r="A39" s="70"/>
      <c r="B39" s="70"/>
      <c r="C39" s="70"/>
      <c r="D39" s="70"/>
      <c r="E39" s="70"/>
      <c r="F39" s="70"/>
      <c r="G39" s="70"/>
      <c r="H39" s="71"/>
      <c r="I39" s="70"/>
      <c r="J39" s="70"/>
      <c r="K39" s="70"/>
      <c r="L39" s="70"/>
      <c r="M39" s="72"/>
      <c r="N39" s="70"/>
      <c r="O39" s="70"/>
      <c r="P39" s="72"/>
      <c r="Q39" s="70"/>
      <c r="R39" s="70"/>
      <c r="S39" s="70" t="str">
        <f>IF($B39="Risk",COUNTIF($B$2:B39,"Risk"),"")</f>
        <v/>
      </c>
    </row>
    <row r="40" spans="1:19" ht="14.5" x14ac:dyDescent="0.35">
      <c r="A40" s="70"/>
      <c r="B40" s="70"/>
      <c r="C40" s="70"/>
      <c r="D40" s="70"/>
      <c r="E40" s="70"/>
      <c r="F40" s="70"/>
      <c r="G40" s="70"/>
      <c r="H40" s="71"/>
      <c r="I40" s="70"/>
      <c r="J40" s="70"/>
      <c r="K40" s="70"/>
      <c r="L40" s="70"/>
      <c r="M40" s="72"/>
      <c r="N40" s="70"/>
      <c r="O40" s="70"/>
      <c r="P40" s="72"/>
      <c r="Q40" s="70"/>
      <c r="R40" s="70"/>
      <c r="S40" s="70" t="str">
        <f>IF($B40="Risk",COUNTIF($B$2:B40,"Risk"),"")</f>
        <v/>
      </c>
    </row>
    <row r="41" spans="1:19" ht="14.5" x14ac:dyDescent="0.35">
      <c r="A41" s="70"/>
      <c r="B41" s="70"/>
      <c r="C41" s="70"/>
      <c r="D41" s="70"/>
      <c r="E41" s="70"/>
      <c r="F41" s="70"/>
      <c r="G41" s="70"/>
      <c r="H41" s="71"/>
      <c r="I41" s="70"/>
      <c r="J41" s="70"/>
      <c r="K41" s="70"/>
      <c r="L41" s="70"/>
      <c r="M41" s="72"/>
      <c r="N41" s="70"/>
      <c r="O41" s="70"/>
      <c r="P41" s="72"/>
      <c r="Q41" s="70"/>
      <c r="R41" s="70"/>
      <c r="S41" s="70" t="str">
        <f>IF($B41="Risk",COUNTIF($B$2:B41,"Risk"),"")</f>
        <v/>
      </c>
    </row>
    <row r="42" spans="1:19" ht="14.5" x14ac:dyDescent="0.35">
      <c r="A42" s="70"/>
      <c r="B42" s="70"/>
      <c r="C42" s="70"/>
      <c r="D42" s="70"/>
      <c r="E42" s="70"/>
      <c r="F42" s="70"/>
      <c r="G42" s="70"/>
      <c r="H42" s="71"/>
      <c r="I42" s="70"/>
      <c r="J42" s="70"/>
      <c r="K42" s="70"/>
      <c r="L42" s="70"/>
      <c r="M42" s="72"/>
      <c r="N42" s="70"/>
      <c r="O42" s="70"/>
      <c r="P42" s="72"/>
      <c r="Q42" s="70"/>
      <c r="R42" s="70"/>
      <c r="S42" s="70" t="str">
        <f>IF($B42="Risk",COUNTIF($B$2:B42,"Risk"),"")</f>
        <v/>
      </c>
    </row>
    <row r="43" spans="1:19" ht="14.5" x14ac:dyDescent="0.35">
      <c r="A43" s="70"/>
      <c r="B43" s="70"/>
      <c r="C43" s="70"/>
      <c r="D43" s="70"/>
      <c r="E43" s="70"/>
      <c r="F43" s="70"/>
      <c r="G43" s="70"/>
      <c r="H43" s="71"/>
      <c r="I43" s="70"/>
      <c r="J43" s="70"/>
      <c r="K43" s="70"/>
      <c r="L43" s="70"/>
      <c r="M43" s="72"/>
      <c r="N43" s="70"/>
      <c r="O43" s="70"/>
      <c r="P43" s="72"/>
      <c r="Q43" s="70"/>
      <c r="R43" s="70"/>
      <c r="S43" s="70" t="str">
        <f>IF($B43="Risk",COUNTIF($B$2:B43,"Risk"),"")</f>
        <v/>
      </c>
    </row>
    <row r="44" spans="1:19" ht="14.5" x14ac:dyDescent="0.35">
      <c r="A44" s="70"/>
      <c r="B44" s="70"/>
      <c r="C44" s="70"/>
      <c r="D44" s="70"/>
      <c r="E44" s="70"/>
      <c r="F44" s="70"/>
      <c r="G44" s="70"/>
      <c r="H44" s="71"/>
      <c r="I44" s="70"/>
      <c r="J44" s="70"/>
      <c r="K44" s="70"/>
      <c r="L44" s="70"/>
      <c r="M44" s="72"/>
      <c r="N44" s="70"/>
      <c r="O44" s="70"/>
      <c r="P44" s="72"/>
      <c r="Q44" s="70"/>
      <c r="R44" s="70"/>
      <c r="S44" s="70" t="str">
        <f>IF($B44="Risk",COUNTIF($B$2:B44,"Risk"),"")</f>
        <v/>
      </c>
    </row>
    <row r="45" spans="1:19" ht="14.5" x14ac:dyDescent="0.35">
      <c r="A45" s="70"/>
      <c r="B45" s="70"/>
      <c r="C45" s="70"/>
      <c r="D45" s="70"/>
      <c r="E45" s="70"/>
      <c r="F45" s="70"/>
      <c r="G45" s="70"/>
      <c r="H45" s="71"/>
      <c r="I45" s="70"/>
      <c r="J45" s="70"/>
      <c r="K45" s="70"/>
      <c r="L45" s="70"/>
      <c r="M45" s="72"/>
      <c r="N45" s="70"/>
      <c r="O45" s="70"/>
      <c r="P45" s="72"/>
      <c r="Q45" s="70"/>
      <c r="R45" s="70"/>
      <c r="S45" s="70" t="str">
        <f>IF($B45="Risk",COUNTIF($B$2:B45,"Risk"),"")</f>
        <v/>
      </c>
    </row>
    <row r="46" spans="1:19" ht="14.5" x14ac:dyDescent="0.35">
      <c r="A46" s="70"/>
      <c r="B46" s="70"/>
      <c r="C46" s="70"/>
      <c r="D46" s="70"/>
      <c r="E46" s="70"/>
      <c r="F46" s="70"/>
      <c r="G46" s="70"/>
      <c r="H46" s="71"/>
      <c r="I46" s="70"/>
      <c r="J46" s="70"/>
      <c r="K46" s="70"/>
      <c r="L46" s="70"/>
      <c r="M46" s="72"/>
      <c r="N46" s="70"/>
      <c r="O46" s="70"/>
      <c r="P46" s="72"/>
      <c r="Q46" s="70"/>
      <c r="R46" s="70"/>
      <c r="S46" s="70" t="str">
        <f>IF($B46="Risk",COUNTIF($B$2:B46,"Risk"),"")</f>
        <v/>
      </c>
    </row>
    <row r="47" spans="1:19" ht="14.5" x14ac:dyDescent="0.35">
      <c r="A47" s="70"/>
      <c r="B47" s="70"/>
      <c r="C47" s="70"/>
      <c r="D47" s="70"/>
      <c r="E47" s="70"/>
      <c r="F47" s="70"/>
      <c r="G47" s="70"/>
      <c r="H47" s="71"/>
      <c r="I47" s="70"/>
      <c r="J47" s="70"/>
      <c r="K47" s="70"/>
      <c r="L47" s="70"/>
      <c r="M47" s="72"/>
      <c r="N47" s="70"/>
      <c r="O47" s="70"/>
      <c r="P47" s="72"/>
      <c r="Q47" s="70"/>
      <c r="R47" s="70"/>
      <c r="S47" s="70" t="str">
        <f>IF($B47="Risk",COUNTIF($B$2:B47,"Risk"),"")</f>
        <v/>
      </c>
    </row>
    <row r="48" spans="1:19" ht="14.5" x14ac:dyDescent="0.35">
      <c r="A48" s="70"/>
      <c r="B48" s="70"/>
      <c r="C48" s="70"/>
      <c r="D48" s="70"/>
      <c r="E48" s="70"/>
      <c r="F48" s="70"/>
      <c r="G48" s="70"/>
      <c r="H48" s="71"/>
      <c r="I48" s="70"/>
      <c r="J48" s="70"/>
      <c r="K48" s="70"/>
      <c r="L48" s="70"/>
      <c r="M48" s="72"/>
      <c r="N48" s="70"/>
      <c r="O48" s="70"/>
      <c r="P48" s="72"/>
      <c r="Q48" s="70"/>
      <c r="R48" s="70"/>
      <c r="S48" s="70" t="str">
        <f>IF($B48="Risk",COUNTIF($B$2:B48,"Risk"),"")</f>
        <v/>
      </c>
    </row>
    <row r="49" spans="1:19" ht="14.5" x14ac:dyDescent="0.35">
      <c r="A49" s="70"/>
      <c r="B49" s="70"/>
      <c r="C49" s="70"/>
      <c r="D49" s="70"/>
      <c r="E49" s="70"/>
      <c r="F49" s="70"/>
      <c r="G49" s="70"/>
      <c r="H49" s="71"/>
      <c r="I49" s="70"/>
      <c r="J49" s="70"/>
      <c r="K49" s="70"/>
      <c r="L49" s="70"/>
      <c r="M49" s="72"/>
      <c r="N49" s="70"/>
      <c r="O49" s="70"/>
      <c r="P49" s="72"/>
      <c r="Q49" s="70"/>
      <c r="R49" s="70"/>
      <c r="S49" s="70" t="str">
        <f>IF($B49="Risk",COUNTIF($B$2:B49,"Risk"),"")</f>
        <v/>
      </c>
    </row>
    <row r="50" spans="1:19" ht="14.5" x14ac:dyDescent="0.35">
      <c r="A50" s="70"/>
      <c r="B50" s="70"/>
      <c r="C50" s="70"/>
      <c r="D50" s="70"/>
      <c r="E50" s="70"/>
      <c r="F50" s="70"/>
      <c r="G50" s="70"/>
      <c r="H50" s="71"/>
      <c r="I50" s="70"/>
      <c r="J50" s="70"/>
      <c r="K50" s="70"/>
      <c r="L50" s="70"/>
      <c r="M50" s="72"/>
      <c r="N50" s="70"/>
      <c r="O50" s="70"/>
      <c r="P50" s="72"/>
      <c r="Q50" s="70"/>
      <c r="R50" s="70"/>
      <c r="S50" s="70" t="str">
        <f>IF($B50="Risk",COUNTIF($B$2:B50,"Risk"),"")</f>
        <v/>
      </c>
    </row>
    <row r="51" spans="1:19" ht="14.5" x14ac:dyDescent="0.35">
      <c r="A51" s="70"/>
      <c r="B51" s="70"/>
      <c r="C51" s="70"/>
      <c r="D51" s="70"/>
      <c r="E51" s="70"/>
      <c r="F51" s="70"/>
      <c r="G51" s="70"/>
      <c r="H51" s="71"/>
      <c r="I51" s="70"/>
      <c r="J51" s="70"/>
      <c r="K51" s="70"/>
      <c r="L51" s="70"/>
      <c r="M51" s="72"/>
      <c r="N51" s="70"/>
      <c r="O51" s="70"/>
      <c r="P51" s="72"/>
      <c r="Q51" s="70"/>
      <c r="R51" s="70"/>
      <c r="S51" s="70" t="str">
        <f>IF($B51="Risk",COUNTIF($B$2:B51,"Risk"),"")</f>
        <v/>
      </c>
    </row>
    <row r="52" spans="1:19" ht="14.5" x14ac:dyDescent="0.35">
      <c r="A52" s="70"/>
      <c r="B52" s="70"/>
      <c r="C52" s="70"/>
      <c r="D52" s="70"/>
      <c r="E52" s="70"/>
      <c r="F52" s="70"/>
      <c r="G52" s="70"/>
      <c r="H52" s="71"/>
      <c r="I52" s="70"/>
      <c r="J52" s="70"/>
      <c r="K52" s="70"/>
      <c r="L52" s="70"/>
      <c r="M52" s="72"/>
      <c r="N52" s="70"/>
      <c r="O52" s="70"/>
      <c r="P52" s="72"/>
      <c r="Q52" s="70"/>
      <c r="R52" s="70"/>
      <c r="S52" s="70" t="str">
        <f>IF($B52="Risk",COUNTIF($B$2:B52,"Risk"),"")</f>
        <v/>
      </c>
    </row>
    <row r="53" spans="1:19" ht="14.5" x14ac:dyDescent="0.35">
      <c r="A53" s="70"/>
      <c r="B53" s="70"/>
      <c r="C53" s="70"/>
      <c r="D53" s="70"/>
      <c r="E53" s="70"/>
      <c r="F53" s="70"/>
      <c r="G53" s="70"/>
      <c r="H53" s="71"/>
      <c r="I53" s="70"/>
      <c r="J53" s="70"/>
      <c r="K53" s="70"/>
      <c r="L53" s="70"/>
      <c r="M53" s="72"/>
      <c r="N53" s="70"/>
      <c r="O53" s="70"/>
      <c r="P53" s="72"/>
      <c r="Q53" s="70"/>
      <c r="R53" s="70"/>
      <c r="S53" s="70" t="str">
        <f>IF($B53="Risk",COUNTIF($B$2:B53,"Risk"),"")</f>
        <v/>
      </c>
    </row>
    <row r="54" spans="1:19" ht="14.5" x14ac:dyDescent="0.35">
      <c r="A54" s="70"/>
      <c r="B54" s="70"/>
      <c r="C54" s="70"/>
      <c r="D54" s="70"/>
      <c r="E54" s="70"/>
      <c r="F54" s="70"/>
      <c r="G54" s="70"/>
      <c r="H54" s="71"/>
      <c r="I54" s="70"/>
      <c r="J54" s="70"/>
      <c r="K54" s="70"/>
      <c r="L54" s="70"/>
      <c r="M54" s="72"/>
      <c r="N54" s="70"/>
      <c r="O54" s="70"/>
      <c r="P54" s="72"/>
      <c r="Q54" s="70"/>
      <c r="R54" s="70"/>
      <c r="S54" s="70" t="str">
        <f>IF($B54="Risk",COUNTIF($B$2:B54,"Risk"),"")</f>
        <v/>
      </c>
    </row>
    <row r="55" spans="1:19" ht="14.5" x14ac:dyDescent="0.35">
      <c r="A55" s="70"/>
      <c r="B55" s="70"/>
      <c r="C55" s="70"/>
      <c r="D55" s="70"/>
      <c r="E55" s="70"/>
      <c r="F55" s="70"/>
      <c r="G55" s="70"/>
      <c r="H55" s="71"/>
      <c r="I55" s="70"/>
      <c r="J55" s="70"/>
      <c r="K55" s="70"/>
      <c r="L55" s="70"/>
      <c r="M55" s="72"/>
      <c r="N55" s="70"/>
      <c r="O55" s="70"/>
      <c r="P55" s="72"/>
      <c r="Q55" s="70"/>
      <c r="R55" s="70"/>
      <c r="S55" s="70" t="str">
        <f>IF($B55="Risk",COUNTIF($B$2:B55,"Risk"),"")</f>
        <v/>
      </c>
    </row>
    <row r="56" spans="1:19" ht="14.5" x14ac:dyDescent="0.35">
      <c r="A56" s="70"/>
      <c r="B56" s="70"/>
      <c r="C56" s="70"/>
      <c r="D56" s="70"/>
      <c r="E56" s="70"/>
      <c r="F56" s="70"/>
      <c r="G56" s="70"/>
      <c r="H56" s="71"/>
      <c r="I56" s="70"/>
      <c r="J56" s="70"/>
      <c r="K56" s="70"/>
      <c r="L56" s="70"/>
      <c r="M56" s="72"/>
      <c r="N56" s="70"/>
      <c r="O56" s="70"/>
      <c r="P56" s="72"/>
      <c r="Q56" s="70"/>
      <c r="R56" s="70"/>
      <c r="S56" s="70" t="str">
        <f>IF($B56="Risk",COUNTIF($B$2:B56,"Risk"),"")</f>
        <v/>
      </c>
    </row>
    <row r="57" spans="1:19" ht="14.5" x14ac:dyDescent="0.35">
      <c r="A57" s="70"/>
      <c r="B57" s="70"/>
      <c r="C57" s="70"/>
      <c r="D57" s="70"/>
      <c r="E57" s="70"/>
      <c r="F57" s="70"/>
      <c r="G57" s="70"/>
      <c r="H57" s="71"/>
      <c r="I57" s="70"/>
      <c r="J57" s="70"/>
      <c r="K57" s="70"/>
      <c r="L57" s="70"/>
      <c r="M57" s="72"/>
      <c r="N57" s="70"/>
      <c r="O57" s="70"/>
      <c r="P57" s="72"/>
      <c r="Q57" s="70"/>
      <c r="R57" s="70"/>
      <c r="S57" s="70" t="str">
        <f>IF($B57="Risk",COUNTIF($B$2:B57,"Risk"),"")</f>
        <v/>
      </c>
    </row>
    <row r="58" spans="1:19" ht="14.5" x14ac:dyDescent="0.35">
      <c r="A58" s="70"/>
      <c r="B58" s="70"/>
      <c r="C58" s="70"/>
      <c r="D58" s="70"/>
      <c r="E58" s="70"/>
      <c r="F58" s="70"/>
      <c r="G58" s="70"/>
      <c r="H58" s="71"/>
      <c r="I58" s="70"/>
      <c r="J58" s="70"/>
      <c r="K58" s="70"/>
      <c r="L58" s="70"/>
      <c r="M58" s="72"/>
      <c r="N58" s="70"/>
      <c r="O58" s="70"/>
      <c r="P58" s="72"/>
      <c r="Q58" s="70"/>
      <c r="R58" s="70"/>
      <c r="S58" s="70" t="str">
        <f>IF($B58="Risk",COUNTIF($B$2:B58,"Risk"),"")</f>
        <v/>
      </c>
    </row>
    <row r="59" spans="1:19" ht="14.5" x14ac:dyDescent="0.35">
      <c r="A59" s="70"/>
      <c r="B59" s="70"/>
      <c r="C59" s="70"/>
      <c r="D59" s="70"/>
      <c r="E59" s="70"/>
      <c r="F59" s="70"/>
      <c r="G59" s="70"/>
      <c r="H59" s="71"/>
      <c r="I59" s="70"/>
      <c r="J59" s="70"/>
      <c r="K59" s="70"/>
      <c r="L59" s="70"/>
      <c r="M59" s="72"/>
      <c r="N59" s="70"/>
      <c r="O59" s="70"/>
      <c r="P59" s="72"/>
      <c r="Q59" s="70"/>
      <c r="R59" s="70"/>
      <c r="S59" s="70" t="str">
        <f>IF($B59="Risk",COUNTIF($B$2:B59,"Risk"),"")</f>
        <v/>
      </c>
    </row>
    <row r="60" spans="1:19" ht="14.5" x14ac:dyDescent="0.35">
      <c r="A60" s="70"/>
      <c r="B60" s="70"/>
      <c r="C60" s="70"/>
      <c r="D60" s="70"/>
      <c r="E60" s="70"/>
      <c r="F60" s="70"/>
      <c r="G60" s="70"/>
      <c r="H60" s="71"/>
      <c r="I60" s="70"/>
      <c r="J60" s="70"/>
      <c r="K60" s="70"/>
      <c r="L60" s="70"/>
      <c r="M60" s="72"/>
      <c r="N60" s="70"/>
      <c r="O60" s="70"/>
      <c r="P60" s="72"/>
      <c r="Q60" s="70"/>
      <c r="R60" s="70"/>
      <c r="S60" s="70" t="str">
        <f>IF($B60="Risk",COUNTIF($B$2:B60,"Risk"),"")</f>
        <v/>
      </c>
    </row>
    <row r="61" spans="1:19" ht="14.5" x14ac:dyDescent="0.35">
      <c r="A61" s="70"/>
      <c r="B61" s="70"/>
      <c r="C61" s="70"/>
      <c r="D61" s="70"/>
      <c r="E61" s="70"/>
      <c r="F61" s="70"/>
      <c r="G61" s="70"/>
      <c r="H61" s="71"/>
      <c r="I61" s="70"/>
      <c r="J61" s="70"/>
      <c r="K61" s="70"/>
      <c r="L61" s="70"/>
      <c r="M61" s="72"/>
      <c r="N61" s="70"/>
      <c r="O61" s="70"/>
      <c r="P61" s="72"/>
      <c r="Q61" s="70"/>
      <c r="R61" s="70"/>
      <c r="S61" s="70" t="str">
        <f>IF($B61="Risk",COUNTIF($B$2:B61,"Risk"),"")</f>
        <v/>
      </c>
    </row>
    <row r="62" spans="1:19" ht="14.5" x14ac:dyDescent="0.35">
      <c r="A62" s="70"/>
      <c r="B62" s="70"/>
      <c r="C62" s="70"/>
      <c r="D62" s="70"/>
      <c r="E62" s="70"/>
      <c r="F62" s="70"/>
      <c r="G62" s="70"/>
      <c r="H62" s="71"/>
      <c r="I62" s="70"/>
      <c r="J62" s="70"/>
      <c r="K62" s="70"/>
      <c r="L62" s="70"/>
      <c r="M62" s="72"/>
      <c r="N62" s="70"/>
      <c r="O62" s="70"/>
      <c r="P62" s="72"/>
      <c r="Q62" s="70"/>
      <c r="R62" s="70"/>
      <c r="S62" s="70" t="str">
        <f>IF($B62="Risk",COUNTIF($B$2:B62,"Risk"),"")</f>
        <v/>
      </c>
    </row>
    <row r="63" spans="1:19" ht="14.5" x14ac:dyDescent="0.35">
      <c r="A63" s="70"/>
      <c r="B63" s="70"/>
      <c r="C63" s="70"/>
      <c r="D63" s="70"/>
      <c r="E63" s="70"/>
      <c r="F63" s="70"/>
      <c r="G63" s="70"/>
      <c r="H63" s="71"/>
      <c r="I63" s="70"/>
      <c r="J63" s="70"/>
      <c r="K63" s="70"/>
      <c r="L63" s="70"/>
      <c r="M63" s="72"/>
      <c r="N63" s="70"/>
      <c r="O63" s="70"/>
      <c r="P63" s="72"/>
      <c r="Q63" s="70"/>
      <c r="R63" s="70"/>
      <c r="S63" s="70" t="str">
        <f>IF($B63="Risk",COUNTIF($B$2:B63,"Risk"),"")</f>
        <v/>
      </c>
    </row>
    <row r="64" spans="1:19" ht="14.5" x14ac:dyDescent="0.35">
      <c r="A64" s="70"/>
      <c r="B64" s="70"/>
      <c r="C64" s="70"/>
      <c r="D64" s="70"/>
      <c r="E64" s="70"/>
      <c r="F64" s="70"/>
      <c r="G64" s="70"/>
      <c r="H64" s="71"/>
      <c r="I64" s="70"/>
      <c r="J64" s="70"/>
      <c r="K64" s="70"/>
      <c r="L64" s="70"/>
      <c r="M64" s="72"/>
      <c r="N64" s="70"/>
      <c r="O64" s="70"/>
      <c r="P64" s="72"/>
      <c r="Q64" s="70"/>
      <c r="R64" s="70"/>
      <c r="S64" s="70" t="str">
        <f>IF($B64="Risk",COUNTIF($B$2:B64,"Risk"),"")</f>
        <v/>
      </c>
    </row>
    <row r="65" spans="1:19" ht="14.5" x14ac:dyDescent="0.35">
      <c r="A65" s="70"/>
      <c r="B65" s="70"/>
      <c r="C65" s="70"/>
      <c r="D65" s="70"/>
      <c r="E65" s="70"/>
      <c r="F65" s="70"/>
      <c r="G65" s="70"/>
      <c r="H65" s="71"/>
      <c r="I65" s="70"/>
      <c r="J65" s="70"/>
      <c r="K65" s="70"/>
      <c r="L65" s="70"/>
      <c r="M65" s="72"/>
      <c r="N65" s="70"/>
      <c r="O65" s="70"/>
      <c r="P65" s="72"/>
      <c r="Q65" s="70"/>
      <c r="R65" s="70"/>
      <c r="S65" s="70" t="str">
        <f>IF($B65="Risk",COUNTIF($B$2:B65,"Risk"),"")</f>
        <v/>
      </c>
    </row>
    <row r="66" spans="1:19" ht="14.5" x14ac:dyDescent="0.35">
      <c r="A66" s="70"/>
      <c r="B66" s="70"/>
      <c r="C66" s="70"/>
      <c r="D66" s="70"/>
      <c r="E66" s="70"/>
      <c r="F66" s="70"/>
      <c r="G66" s="70"/>
      <c r="H66" s="71"/>
      <c r="I66" s="70"/>
      <c r="J66" s="70"/>
      <c r="K66" s="70"/>
      <c r="L66" s="70"/>
      <c r="M66" s="72"/>
      <c r="N66" s="70"/>
      <c r="O66" s="70"/>
      <c r="P66" s="72"/>
      <c r="Q66" s="70"/>
      <c r="R66" s="70"/>
      <c r="S66" s="70" t="str">
        <f>IF($B66="Risk",COUNTIF($B$2:B66,"Risk"),"")</f>
        <v/>
      </c>
    </row>
    <row r="67" spans="1:19" ht="14.5" x14ac:dyDescent="0.35">
      <c r="A67" s="70"/>
      <c r="B67" s="70"/>
      <c r="C67" s="70"/>
      <c r="D67" s="70"/>
      <c r="E67" s="70"/>
      <c r="F67" s="70"/>
      <c r="G67" s="70"/>
      <c r="H67" s="71"/>
      <c r="I67" s="70"/>
      <c r="J67" s="70"/>
      <c r="K67" s="70"/>
      <c r="L67" s="70"/>
      <c r="M67" s="72"/>
      <c r="N67" s="70"/>
      <c r="O67" s="70"/>
      <c r="P67" s="72"/>
      <c r="Q67" s="70"/>
      <c r="R67" s="70"/>
      <c r="S67" s="70" t="str">
        <f>IF($B67="Risk",COUNTIF($B$2:B67,"Risk"),"")</f>
        <v/>
      </c>
    </row>
    <row r="68" spans="1:19" ht="14.5" x14ac:dyDescent="0.35">
      <c r="A68" s="70"/>
      <c r="B68" s="70"/>
      <c r="C68" s="70"/>
      <c r="D68" s="70"/>
      <c r="E68" s="70"/>
      <c r="F68" s="70"/>
      <c r="G68" s="70"/>
      <c r="H68" s="71"/>
      <c r="I68" s="70"/>
      <c r="J68" s="70"/>
      <c r="K68" s="70"/>
      <c r="L68" s="70"/>
      <c r="M68" s="72"/>
      <c r="N68" s="70"/>
      <c r="O68" s="70"/>
      <c r="P68" s="72"/>
      <c r="Q68" s="70"/>
      <c r="R68" s="70"/>
      <c r="S68" s="70" t="str">
        <f>IF($B68="Risk",COUNTIF($B$2:B68,"Risk"),"")</f>
        <v/>
      </c>
    </row>
    <row r="69" spans="1:19" ht="14.5" x14ac:dyDescent="0.35">
      <c r="A69" s="70"/>
      <c r="B69" s="70"/>
      <c r="C69" s="70"/>
      <c r="D69" s="70"/>
      <c r="E69" s="70"/>
      <c r="F69" s="70"/>
      <c r="G69" s="70"/>
      <c r="H69" s="71"/>
      <c r="I69" s="70"/>
      <c r="J69" s="70"/>
      <c r="K69" s="70"/>
      <c r="L69" s="70"/>
      <c r="M69" s="72"/>
      <c r="N69" s="70"/>
      <c r="O69" s="70"/>
      <c r="P69" s="72"/>
      <c r="Q69" s="70"/>
      <c r="R69" s="70"/>
      <c r="S69" s="70" t="str">
        <f>IF($B69="Risk",COUNTIF($B$2:B69,"Risk"),"")</f>
        <v/>
      </c>
    </row>
    <row r="70" spans="1:19" ht="14.5" x14ac:dyDescent="0.35">
      <c r="A70" s="70"/>
      <c r="B70" s="70"/>
      <c r="C70" s="70"/>
      <c r="D70" s="70"/>
      <c r="E70" s="70"/>
      <c r="F70" s="70"/>
      <c r="G70" s="70"/>
      <c r="H70" s="71"/>
      <c r="I70" s="70"/>
      <c r="J70" s="70"/>
      <c r="K70" s="70"/>
      <c r="L70" s="70"/>
      <c r="M70" s="72"/>
      <c r="N70" s="70"/>
      <c r="O70" s="70"/>
      <c r="P70" s="72"/>
      <c r="Q70" s="70"/>
      <c r="R70" s="70"/>
      <c r="S70" s="70" t="str">
        <f>IF($B70="Risk",COUNTIF($B$2:B70,"Risk"),"")</f>
        <v/>
      </c>
    </row>
    <row r="71" spans="1:19" ht="14.5" x14ac:dyDescent="0.35">
      <c r="A71" s="70"/>
      <c r="B71" s="70"/>
      <c r="C71" s="70"/>
      <c r="D71" s="70"/>
      <c r="E71" s="70"/>
      <c r="F71" s="70"/>
      <c r="G71" s="70"/>
      <c r="H71" s="71"/>
      <c r="I71" s="70"/>
      <c r="J71" s="70"/>
      <c r="K71" s="70"/>
      <c r="L71" s="70"/>
      <c r="M71" s="72"/>
      <c r="N71" s="70"/>
      <c r="O71" s="70"/>
      <c r="P71" s="72"/>
      <c r="Q71" s="70"/>
      <c r="R71" s="70"/>
      <c r="S71" s="70" t="str">
        <f>IF($B71="Risk",COUNTIF($B$2:B71,"Risk"),"")</f>
        <v/>
      </c>
    </row>
    <row r="72" spans="1:19" ht="14.5" x14ac:dyDescent="0.35">
      <c r="A72" s="70"/>
      <c r="B72" s="70"/>
      <c r="C72" s="70"/>
      <c r="D72" s="70"/>
      <c r="E72" s="70"/>
      <c r="F72" s="70"/>
      <c r="G72" s="70"/>
      <c r="H72" s="71"/>
      <c r="I72" s="70"/>
      <c r="J72" s="70"/>
      <c r="K72" s="70"/>
      <c r="L72" s="70"/>
      <c r="M72" s="72"/>
      <c r="N72" s="70"/>
      <c r="O72" s="70"/>
      <c r="P72" s="72"/>
      <c r="Q72" s="70"/>
      <c r="R72" s="70"/>
      <c r="S72" s="70" t="str">
        <f>IF($B72="Risk",COUNTIF($B$2:B72,"Risk"),"")</f>
        <v/>
      </c>
    </row>
    <row r="73" spans="1:19" ht="14.5" x14ac:dyDescent="0.35">
      <c r="A73" s="70"/>
      <c r="B73" s="70"/>
      <c r="C73" s="70"/>
      <c r="D73" s="70"/>
      <c r="E73" s="70"/>
      <c r="F73" s="70"/>
      <c r="G73" s="70"/>
      <c r="H73" s="71"/>
      <c r="I73" s="70"/>
      <c r="J73" s="70"/>
      <c r="K73" s="70"/>
      <c r="L73" s="70"/>
      <c r="M73" s="72"/>
      <c r="N73" s="70"/>
      <c r="O73" s="70"/>
      <c r="P73" s="72"/>
      <c r="Q73" s="70"/>
      <c r="R73" s="70"/>
      <c r="S73" s="70" t="str">
        <f>IF($B73="Risk",COUNTIF($B$2:B73,"Risk"),"")</f>
        <v/>
      </c>
    </row>
    <row r="74" spans="1:19" ht="14.5" x14ac:dyDescent="0.35">
      <c r="A74" s="70"/>
      <c r="B74" s="70"/>
      <c r="C74" s="70"/>
      <c r="D74" s="70"/>
      <c r="E74" s="70"/>
      <c r="F74" s="70"/>
      <c r="G74" s="70"/>
      <c r="H74" s="71"/>
      <c r="I74" s="70"/>
      <c r="J74" s="70"/>
      <c r="K74" s="70"/>
      <c r="L74" s="70"/>
      <c r="M74" s="72"/>
      <c r="N74" s="70"/>
      <c r="O74" s="70"/>
      <c r="P74" s="72"/>
      <c r="Q74" s="70"/>
      <c r="R74" s="70"/>
      <c r="S74" s="70" t="str">
        <f>IF($B74="Risk",COUNTIF($B$2:B74,"Risk"),"")</f>
        <v/>
      </c>
    </row>
    <row r="75" spans="1:19" ht="14.5" x14ac:dyDescent="0.35">
      <c r="A75" s="70"/>
      <c r="B75" s="70"/>
      <c r="C75" s="70"/>
      <c r="D75" s="70"/>
      <c r="E75" s="70"/>
      <c r="F75" s="70"/>
      <c r="G75" s="70"/>
      <c r="H75" s="71"/>
      <c r="I75" s="70"/>
      <c r="J75" s="70"/>
      <c r="K75" s="70"/>
      <c r="L75" s="70"/>
      <c r="M75" s="72"/>
      <c r="N75" s="70"/>
      <c r="O75" s="70"/>
      <c r="P75" s="72"/>
      <c r="Q75" s="70"/>
      <c r="R75" s="70"/>
      <c r="S75" s="70" t="str">
        <f>IF($B75="Risk",COUNTIF($B$2:B75,"Risk"),"")</f>
        <v/>
      </c>
    </row>
    <row r="76" spans="1:19" ht="14.5" x14ac:dyDescent="0.35">
      <c r="A76" s="70"/>
      <c r="B76" s="70"/>
      <c r="C76" s="70"/>
      <c r="D76" s="70"/>
      <c r="E76" s="70"/>
      <c r="F76" s="70"/>
      <c r="G76" s="70"/>
      <c r="H76" s="71"/>
      <c r="I76" s="70"/>
      <c r="J76" s="70"/>
      <c r="K76" s="70"/>
      <c r="L76" s="70"/>
      <c r="M76" s="72"/>
      <c r="N76" s="70"/>
      <c r="O76" s="70"/>
      <c r="P76" s="72"/>
      <c r="Q76" s="70"/>
      <c r="R76" s="70"/>
      <c r="S76" s="70" t="str">
        <f>IF($B76="Risk",COUNTIF($B$2:B76,"Risk"),"")</f>
        <v/>
      </c>
    </row>
    <row r="77" spans="1:19" ht="14.5" x14ac:dyDescent="0.35">
      <c r="A77" s="70"/>
      <c r="B77" s="70"/>
      <c r="C77" s="70"/>
      <c r="D77" s="70"/>
      <c r="E77" s="70"/>
      <c r="F77" s="70"/>
      <c r="G77" s="70"/>
      <c r="H77" s="71"/>
      <c r="I77" s="70"/>
      <c r="J77" s="70"/>
      <c r="K77" s="70"/>
      <c r="L77" s="70"/>
      <c r="M77" s="72"/>
      <c r="N77" s="70"/>
      <c r="O77" s="70"/>
      <c r="P77" s="72"/>
      <c r="Q77" s="70"/>
      <c r="R77" s="70"/>
      <c r="S77" s="70" t="str">
        <f>IF($B77="Risk",COUNTIF($B$2:B77,"Risk"),"")</f>
        <v/>
      </c>
    </row>
    <row r="78" spans="1:19" ht="14.5" x14ac:dyDescent="0.35">
      <c r="A78" s="70"/>
      <c r="B78" s="70"/>
      <c r="C78" s="70"/>
      <c r="D78" s="70"/>
      <c r="E78" s="70"/>
      <c r="F78" s="70"/>
      <c r="G78" s="70"/>
      <c r="H78" s="71"/>
      <c r="I78" s="70"/>
      <c r="J78" s="70"/>
      <c r="K78" s="70"/>
      <c r="L78" s="70"/>
      <c r="M78" s="72"/>
      <c r="N78" s="70"/>
      <c r="O78" s="70"/>
      <c r="P78" s="72"/>
      <c r="Q78" s="70"/>
      <c r="R78" s="70"/>
      <c r="S78" s="70" t="str">
        <f>IF($B78="Risk",COUNTIF($B$2:B78,"Risk"),"")</f>
        <v/>
      </c>
    </row>
    <row r="79" spans="1:19" ht="14.5" x14ac:dyDescent="0.35">
      <c r="A79" s="70"/>
      <c r="B79" s="70"/>
      <c r="C79" s="70"/>
      <c r="D79" s="70"/>
      <c r="E79" s="70"/>
      <c r="F79" s="70"/>
      <c r="G79" s="70"/>
      <c r="H79" s="71"/>
      <c r="I79" s="70"/>
      <c r="J79" s="70"/>
      <c r="K79" s="70"/>
      <c r="L79" s="70"/>
      <c r="M79" s="72"/>
      <c r="N79" s="70"/>
      <c r="O79" s="70"/>
      <c r="P79" s="72"/>
      <c r="Q79" s="70"/>
      <c r="R79" s="70"/>
      <c r="S79" s="70" t="str">
        <f>IF($B79="Risk",COUNTIF($B$2:B79,"Risk"),"")</f>
        <v/>
      </c>
    </row>
    <row r="80" spans="1:19" ht="14.5" x14ac:dyDescent="0.35">
      <c r="A80" s="70"/>
      <c r="B80" s="70"/>
      <c r="C80" s="70"/>
      <c r="D80" s="70"/>
      <c r="E80" s="70"/>
      <c r="F80" s="70"/>
      <c r="G80" s="70"/>
      <c r="H80" s="71"/>
      <c r="I80" s="70"/>
      <c r="J80" s="70"/>
      <c r="K80" s="70"/>
      <c r="L80" s="70"/>
      <c r="M80" s="72"/>
      <c r="N80" s="70"/>
      <c r="O80" s="70"/>
      <c r="P80" s="72"/>
      <c r="Q80" s="70"/>
      <c r="R80" s="70"/>
      <c r="S80" s="70" t="str">
        <f>IF($B80="Risk",COUNTIF($B$2:B80,"Risk"),"")</f>
        <v/>
      </c>
    </row>
    <row r="81" spans="1:19" ht="14.5" x14ac:dyDescent="0.35">
      <c r="A81" s="70"/>
      <c r="B81" s="70"/>
      <c r="C81" s="70"/>
      <c r="D81" s="70"/>
      <c r="E81" s="70"/>
      <c r="F81" s="70"/>
      <c r="G81" s="70"/>
      <c r="H81" s="71"/>
      <c r="I81" s="70"/>
      <c r="J81" s="70"/>
      <c r="K81" s="70"/>
      <c r="L81" s="70"/>
      <c r="M81" s="72"/>
      <c r="N81" s="70"/>
      <c r="O81" s="70"/>
      <c r="P81" s="72"/>
      <c r="Q81" s="70"/>
      <c r="R81" s="70"/>
      <c r="S81" s="70" t="str">
        <f>IF($B81="Risk",COUNTIF($B$2:B81,"Risk"),"")</f>
        <v/>
      </c>
    </row>
    <row r="82" spans="1:19" ht="14.5" x14ac:dyDescent="0.35">
      <c r="A82" s="70"/>
      <c r="B82" s="70"/>
      <c r="C82" s="70"/>
      <c r="D82" s="70"/>
      <c r="E82" s="70"/>
      <c r="F82" s="70"/>
      <c r="G82" s="70"/>
      <c r="H82" s="71"/>
      <c r="I82" s="70"/>
      <c r="J82" s="70"/>
      <c r="K82" s="70"/>
      <c r="L82" s="70"/>
      <c r="M82" s="72"/>
      <c r="N82" s="70"/>
      <c r="O82" s="70"/>
      <c r="P82" s="72"/>
      <c r="Q82" s="70"/>
      <c r="R82" s="70"/>
      <c r="S82" s="70" t="str">
        <f>IF($B82="Risk",COUNTIF($B$2:B82,"Risk"),"")</f>
        <v/>
      </c>
    </row>
    <row r="83" spans="1:19" ht="14.5" x14ac:dyDescent="0.35">
      <c r="A83" s="70"/>
      <c r="B83" s="70"/>
      <c r="C83" s="70"/>
      <c r="D83" s="70"/>
      <c r="E83" s="70"/>
      <c r="F83" s="70"/>
      <c r="G83" s="70"/>
      <c r="H83" s="71"/>
      <c r="I83" s="70"/>
      <c r="J83" s="70"/>
      <c r="K83" s="70"/>
      <c r="L83" s="70"/>
      <c r="M83" s="72"/>
      <c r="N83" s="70"/>
      <c r="O83" s="70"/>
      <c r="P83" s="72"/>
      <c r="Q83" s="70"/>
      <c r="R83" s="70"/>
      <c r="S83" s="70" t="str">
        <f>IF($B83="Risk",COUNTIF($B$2:B83,"Risk"),"")</f>
        <v/>
      </c>
    </row>
    <row r="84" spans="1:19" ht="14.5" x14ac:dyDescent="0.35">
      <c r="A84" s="70"/>
      <c r="B84" s="70"/>
      <c r="C84" s="70"/>
      <c r="D84" s="70"/>
      <c r="E84" s="70"/>
      <c r="F84" s="70"/>
      <c r="G84" s="70"/>
      <c r="H84" s="71"/>
      <c r="I84" s="70"/>
      <c r="J84" s="70"/>
      <c r="K84" s="70"/>
      <c r="L84" s="70"/>
      <c r="M84" s="72"/>
      <c r="N84" s="70"/>
      <c r="O84" s="70"/>
      <c r="P84" s="72"/>
      <c r="Q84" s="70"/>
      <c r="R84" s="70"/>
      <c r="S84" s="70" t="str">
        <f>IF($B84="Risk",COUNTIF($B$2:B84,"Risk"),"")</f>
        <v/>
      </c>
    </row>
    <row r="85" spans="1:19" ht="14.5" x14ac:dyDescent="0.35">
      <c r="A85" s="70"/>
      <c r="B85" s="70"/>
      <c r="C85" s="70"/>
      <c r="D85" s="70"/>
      <c r="E85" s="70"/>
      <c r="F85" s="70"/>
      <c r="G85" s="70"/>
      <c r="H85" s="71"/>
      <c r="I85" s="70"/>
      <c r="J85" s="70"/>
      <c r="K85" s="70"/>
      <c r="L85" s="70"/>
      <c r="M85" s="72"/>
      <c r="N85" s="70"/>
      <c r="O85" s="70"/>
      <c r="P85" s="72"/>
      <c r="Q85" s="70"/>
      <c r="R85" s="70"/>
      <c r="S85" s="70" t="str">
        <f>IF($B85="Risk",COUNTIF($B$2:B85,"Risk"),"")</f>
        <v/>
      </c>
    </row>
    <row r="86" spans="1:19" ht="14.5" x14ac:dyDescent="0.35">
      <c r="A86" s="70"/>
      <c r="B86" s="70"/>
      <c r="C86" s="70"/>
      <c r="D86" s="70"/>
      <c r="E86" s="70"/>
      <c r="F86" s="70"/>
      <c r="G86" s="70"/>
      <c r="H86" s="71"/>
      <c r="I86" s="70"/>
      <c r="J86" s="70"/>
      <c r="K86" s="70"/>
      <c r="L86" s="70"/>
      <c r="M86" s="72"/>
      <c r="N86" s="70"/>
      <c r="O86" s="70"/>
      <c r="P86" s="72"/>
      <c r="Q86" s="70"/>
      <c r="R86" s="70"/>
      <c r="S86" s="70" t="str">
        <f>IF($B86="Risk",COUNTIF($B$2:B86,"Risk"),"")</f>
        <v/>
      </c>
    </row>
    <row r="87" spans="1:19" ht="14.5" x14ac:dyDescent="0.35">
      <c r="A87" s="70"/>
      <c r="B87" s="70"/>
      <c r="C87" s="70"/>
      <c r="D87" s="70"/>
      <c r="E87" s="70"/>
      <c r="F87" s="70"/>
      <c r="G87" s="70"/>
      <c r="H87" s="71"/>
      <c r="I87" s="70"/>
      <c r="J87" s="70"/>
      <c r="K87" s="70"/>
      <c r="L87" s="70"/>
      <c r="M87" s="72"/>
      <c r="N87" s="70"/>
      <c r="O87" s="70"/>
      <c r="P87" s="72"/>
      <c r="Q87" s="70"/>
      <c r="R87" s="70"/>
      <c r="S87" s="70" t="str">
        <f>IF($B87="Risk",COUNTIF($B$2:B87,"Risk"),"")</f>
        <v/>
      </c>
    </row>
    <row r="88" spans="1:19" ht="14.5" x14ac:dyDescent="0.35">
      <c r="A88" s="70"/>
      <c r="B88" s="70"/>
      <c r="C88" s="70"/>
      <c r="D88" s="70"/>
      <c r="E88" s="70"/>
      <c r="F88" s="70"/>
      <c r="G88" s="70"/>
      <c r="H88" s="71"/>
      <c r="I88" s="70"/>
      <c r="J88" s="70"/>
      <c r="K88" s="70"/>
      <c r="L88" s="70"/>
      <c r="M88" s="72"/>
      <c r="N88" s="70"/>
      <c r="O88" s="70"/>
      <c r="P88" s="72"/>
      <c r="Q88" s="70"/>
      <c r="R88" s="70"/>
      <c r="S88" s="70" t="str">
        <f>IF($B88="Risk",COUNTIF($B$2:B88,"Risk"),"")</f>
        <v/>
      </c>
    </row>
    <row r="89" spans="1:19" ht="14.5" x14ac:dyDescent="0.35">
      <c r="A89" s="70"/>
      <c r="B89" s="70"/>
      <c r="C89" s="70"/>
      <c r="D89" s="70"/>
      <c r="E89" s="70"/>
      <c r="F89" s="70"/>
      <c r="G89" s="70"/>
      <c r="H89" s="71"/>
      <c r="I89" s="70"/>
      <c r="J89" s="70"/>
      <c r="K89" s="70"/>
      <c r="L89" s="70"/>
      <c r="M89" s="72"/>
      <c r="N89" s="70"/>
      <c r="O89" s="70"/>
      <c r="P89" s="72"/>
      <c r="Q89" s="70"/>
      <c r="R89" s="70"/>
      <c r="S89" s="70" t="str">
        <f>IF($B89="Risk",COUNTIF($B$2:B89,"Risk"),"")</f>
        <v/>
      </c>
    </row>
    <row r="90" spans="1:19" ht="14.5" x14ac:dyDescent="0.35">
      <c r="A90" s="70"/>
      <c r="B90" s="70"/>
      <c r="C90" s="70"/>
      <c r="D90" s="70"/>
      <c r="E90" s="70"/>
      <c r="F90" s="70"/>
      <c r="G90" s="70"/>
      <c r="H90" s="71"/>
      <c r="I90" s="70"/>
      <c r="J90" s="70"/>
      <c r="K90" s="70"/>
      <c r="L90" s="70"/>
      <c r="M90" s="72"/>
      <c r="N90" s="70"/>
      <c r="O90" s="70"/>
      <c r="P90" s="72"/>
      <c r="Q90" s="70"/>
      <c r="R90" s="70"/>
      <c r="S90" s="70" t="str">
        <f>IF($B90="Risk",COUNTIF($B$2:B90,"Risk"),"")</f>
        <v/>
      </c>
    </row>
    <row r="91" spans="1:19" ht="14.5" x14ac:dyDescent="0.35">
      <c r="A91" s="70"/>
      <c r="B91" s="70"/>
      <c r="C91" s="70"/>
      <c r="D91" s="70"/>
      <c r="E91" s="70"/>
      <c r="F91" s="70"/>
      <c r="G91" s="70"/>
      <c r="H91" s="71"/>
      <c r="I91" s="70"/>
      <c r="J91" s="70"/>
      <c r="K91" s="70"/>
      <c r="L91" s="70"/>
      <c r="M91" s="72"/>
      <c r="N91" s="70"/>
      <c r="O91" s="70"/>
      <c r="P91" s="72"/>
      <c r="Q91" s="70"/>
      <c r="R91" s="70"/>
      <c r="S91" s="70" t="str">
        <f>IF($B91="Risk",COUNTIF($B$2:B91,"Risk"),"")</f>
        <v/>
      </c>
    </row>
    <row r="92" spans="1:19" ht="14.5" x14ac:dyDescent="0.35">
      <c r="A92" s="70"/>
      <c r="B92" s="70"/>
      <c r="C92" s="70"/>
      <c r="D92" s="70"/>
      <c r="E92" s="70"/>
      <c r="F92" s="70"/>
      <c r="G92" s="70"/>
      <c r="H92" s="71"/>
      <c r="I92" s="70"/>
      <c r="J92" s="70"/>
      <c r="K92" s="70"/>
      <c r="L92" s="70"/>
      <c r="M92" s="72"/>
      <c r="N92" s="70"/>
      <c r="O92" s="70"/>
      <c r="P92" s="72"/>
      <c r="Q92" s="70"/>
      <c r="R92" s="70"/>
      <c r="S92" s="70" t="str">
        <f>IF($B92="Risk",COUNTIF($B$2:B92,"Risk"),"")</f>
        <v/>
      </c>
    </row>
    <row r="93" spans="1:19" ht="14.5" x14ac:dyDescent="0.35">
      <c r="A93" s="70"/>
      <c r="B93" s="70"/>
      <c r="C93" s="70"/>
      <c r="D93" s="70"/>
      <c r="E93" s="70"/>
      <c r="F93" s="70"/>
      <c r="G93" s="70"/>
      <c r="H93" s="71"/>
      <c r="I93" s="70"/>
      <c r="J93" s="70"/>
      <c r="K93" s="70"/>
      <c r="L93" s="70"/>
      <c r="M93" s="72"/>
      <c r="N93" s="70"/>
      <c r="O93" s="70"/>
      <c r="P93" s="72"/>
      <c r="Q93" s="70"/>
      <c r="R93" s="70"/>
      <c r="S93" s="70" t="str">
        <f>IF($B93="Risk",COUNTIF($B$2:B93,"Risk"),"")</f>
        <v/>
      </c>
    </row>
    <row r="94" spans="1:19" ht="14.5" x14ac:dyDescent="0.35">
      <c r="A94" s="70"/>
      <c r="B94" s="70"/>
      <c r="C94" s="70"/>
      <c r="D94" s="70"/>
      <c r="E94" s="70"/>
      <c r="F94" s="70"/>
      <c r="G94" s="70"/>
      <c r="H94" s="71"/>
      <c r="I94" s="70"/>
      <c r="J94" s="70"/>
      <c r="K94" s="70"/>
      <c r="L94" s="70"/>
      <c r="M94" s="72"/>
      <c r="N94" s="70"/>
      <c r="O94" s="70"/>
      <c r="P94" s="72"/>
      <c r="Q94" s="70"/>
      <c r="R94" s="70"/>
      <c r="S94" s="70" t="str">
        <f>IF($B94="Risk",COUNTIF($B$2:B94,"Risk"),"")</f>
        <v/>
      </c>
    </row>
    <row r="95" spans="1:19" ht="14.5" x14ac:dyDescent="0.35">
      <c r="A95" s="70"/>
      <c r="B95" s="70"/>
      <c r="C95" s="70"/>
      <c r="D95" s="70"/>
      <c r="E95" s="70"/>
      <c r="F95" s="70"/>
      <c r="G95" s="70"/>
      <c r="H95" s="71"/>
      <c r="I95" s="70"/>
      <c r="J95" s="70"/>
      <c r="K95" s="70"/>
      <c r="L95" s="70"/>
      <c r="M95" s="72"/>
      <c r="N95" s="70"/>
      <c r="O95" s="70"/>
      <c r="P95" s="72"/>
      <c r="Q95" s="70"/>
      <c r="R95" s="70"/>
      <c r="S95" s="70" t="str">
        <f>IF($B95="Risk",COUNTIF($B$2:B95,"Risk"),"")</f>
        <v/>
      </c>
    </row>
    <row r="96" spans="1:19" ht="14.5" x14ac:dyDescent="0.35">
      <c r="A96" s="70"/>
      <c r="B96" s="70"/>
      <c r="C96" s="70"/>
      <c r="D96" s="70"/>
      <c r="E96" s="70"/>
      <c r="F96" s="70"/>
      <c r="G96" s="70"/>
      <c r="H96" s="71"/>
      <c r="I96" s="70"/>
      <c r="J96" s="70"/>
      <c r="K96" s="70"/>
      <c r="L96" s="70"/>
      <c r="M96" s="72"/>
      <c r="N96" s="70"/>
      <c r="O96" s="70"/>
      <c r="P96" s="72"/>
      <c r="Q96" s="70"/>
      <c r="R96" s="70"/>
      <c r="S96" s="70" t="str">
        <f>IF($B96="Risk",COUNTIF($B$2:B96,"Risk"),"")</f>
        <v/>
      </c>
    </row>
    <row r="97" spans="1:19" ht="14.5" x14ac:dyDescent="0.35">
      <c r="A97" s="70"/>
      <c r="B97" s="70"/>
      <c r="C97" s="70"/>
      <c r="D97" s="70"/>
      <c r="E97" s="70"/>
      <c r="F97" s="70"/>
      <c r="G97" s="70"/>
      <c r="H97" s="71"/>
      <c r="I97" s="70"/>
      <c r="J97" s="70"/>
      <c r="K97" s="70"/>
      <c r="L97" s="70"/>
      <c r="M97" s="72"/>
      <c r="N97" s="70"/>
      <c r="O97" s="70"/>
      <c r="P97" s="72"/>
      <c r="Q97" s="70"/>
      <c r="R97" s="70"/>
      <c r="S97" s="70" t="str">
        <f>IF($B97="Risk",COUNTIF($B$2:B97,"Risk"),"")</f>
        <v/>
      </c>
    </row>
    <row r="98" spans="1:19" ht="14.5" x14ac:dyDescent="0.35">
      <c r="A98" s="70"/>
      <c r="B98" s="70"/>
      <c r="C98" s="70"/>
      <c r="D98" s="70"/>
      <c r="E98" s="70"/>
      <c r="F98" s="70"/>
      <c r="G98" s="70"/>
      <c r="H98" s="71"/>
      <c r="I98" s="70"/>
      <c r="J98" s="70"/>
      <c r="K98" s="70"/>
      <c r="L98" s="70"/>
      <c r="M98" s="72"/>
      <c r="N98" s="70"/>
      <c r="O98" s="70"/>
      <c r="P98" s="72"/>
      <c r="Q98" s="70"/>
      <c r="R98" s="70"/>
      <c r="S98" s="70" t="str">
        <f>IF($B98="Risk",COUNTIF($B$2:B98,"Risk"),"")</f>
        <v/>
      </c>
    </row>
    <row r="99" spans="1:19" ht="14.5" x14ac:dyDescent="0.35">
      <c r="A99" s="70"/>
      <c r="B99" s="70"/>
      <c r="C99" s="70"/>
      <c r="D99" s="70"/>
      <c r="E99" s="70"/>
      <c r="F99" s="70"/>
      <c r="G99" s="70"/>
      <c r="H99" s="71"/>
      <c r="I99" s="70"/>
      <c r="J99" s="70"/>
      <c r="K99" s="70"/>
      <c r="L99" s="70"/>
      <c r="M99" s="72"/>
      <c r="N99" s="70"/>
      <c r="O99" s="70"/>
      <c r="P99" s="72"/>
      <c r="Q99" s="70"/>
      <c r="R99" s="70"/>
      <c r="S99" s="70" t="str">
        <f>IF($B99="Risk",COUNTIF($B$2:B99,"Risk"),"")</f>
        <v/>
      </c>
    </row>
    <row r="100" spans="1:19" ht="14.5" x14ac:dyDescent="0.35">
      <c r="A100" s="70"/>
      <c r="B100" s="70"/>
      <c r="C100" s="70"/>
      <c r="D100" s="70"/>
      <c r="E100" s="70"/>
      <c r="F100" s="70"/>
      <c r="G100" s="70"/>
      <c r="H100" s="71"/>
      <c r="I100" s="70"/>
      <c r="J100" s="70"/>
      <c r="K100" s="70"/>
      <c r="L100" s="70"/>
      <c r="M100" s="72"/>
      <c r="N100" s="70"/>
      <c r="O100" s="70"/>
      <c r="P100" s="72"/>
      <c r="Q100" s="70"/>
      <c r="R100" s="70"/>
      <c r="S100" s="70" t="str">
        <f>IF($B100="Risk",COUNTIF($B$2:B100,"Risk"),"")</f>
        <v/>
      </c>
    </row>
    <row r="101" spans="1:19" ht="14.5" x14ac:dyDescent="0.35">
      <c r="A101" s="70"/>
      <c r="B101" s="70"/>
      <c r="C101" s="70"/>
      <c r="D101" s="70"/>
      <c r="E101" s="70"/>
      <c r="F101" s="70"/>
      <c r="G101" s="70"/>
      <c r="H101" s="71"/>
      <c r="I101" s="70"/>
      <c r="J101" s="70"/>
      <c r="K101" s="70"/>
      <c r="L101" s="70"/>
      <c r="M101" s="72"/>
      <c r="N101" s="70"/>
      <c r="O101" s="70"/>
      <c r="P101" s="72"/>
      <c r="Q101" s="70"/>
      <c r="R101" s="70"/>
      <c r="S101" s="70" t="str">
        <f>IF($B101="Risk",COUNTIF($B$2:B101,"Risk"),"")</f>
        <v/>
      </c>
    </row>
    <row r="102" spans="1:19" ht="12.75" customHeight="1" x14ac:dyDescent="0.25">
      <c r="S102" t="str">
        <f>IF($B102="Risk",COUNTIF($B$2:B102,"Risk"),"")</f>
        <v/>
      </c>
    </row>
    <row r="103" spans="1:19" ht="12.75" customHeight="1" x14ac:dyDescent="0.25">
      <c r="S103" t="str">
        <f>IF($B103="Risk",COUNTIF($B$2:B103,"Risk"),"")</f>
        <v/>
      </c>
    </row>
    <row r="104" spans="1:19" ht="12.75" customHeight="1" x14ac:dyDescent="0.25">
      <c r="S104" t="str">
        <f>IF($B104="Risk",COUNTIF($B$2:B104,"Risk"),"")</f>
        <v/>
      </c>
    </row>
    <row r="105" spans="1:19" ht="12.75" customHeight="1" x14ac:dyDescent="0.25">
      <c r="S105" t="str">
        <f>IF($B105="Risk",COUNTIF($B$2:B105,"Risk"),"")</f>
        <v/>
      </c>
    </row>
    <row r="106" spans="1:19" ht="12.75" customHeight="1" x14ac:dyDescent="0.25">
      <c r="S106" t="str">
        <f>IF($B106="Risk",COUNTIF($B$2:B106,"Risk"),"")</f>
        <v/>
      </c>
    </row>
    <row r="107" spans="1:19" ht="12.75" customHeight="1" x14ac:dyDescent="0.25">
      <c r="S107" t="str">
        <f>IF($B107="Risk",COUNTIF($B$2:B107,"Risk"),"")</f>
        <v/>
      </c>
    </row>
    <row r="108" spans="1:19" ht="12.75" customHeight="1" x14ac:dyDescent="0.25">
      <c r="S108" t="str">
        <f>IF($B108="Risk",COUNTIF($B$2:B108,"Risk"),"")</f>
        <v/>
      </c>
    </row>
    <row r="109" spans="1:19" ht="12.75" customHeight="1" x14ac:dyDescent="0.25">
      <c r="S109" t="str">
        <f>IF($B109="Risk",COUNTIF($B$2:B109,"Risk"),"")</f>
        <v/>
      </c>
    </row>
    <row r="110" spans="1:19" ht="12.75" customHeight="1" x14ac:dyDescent="0.25">
      <c r="S110" t="str">
        <f>IF($B110="Risk",COUNTIF($B$2:B110,"Risk"),"")</f>
        <v/>
      </c>
    </row>
    <row r="111" spans="1:19" ht="12.75" customHeight="1" x14ac:dyDescent="0.25">
      <c r="S111" t="str">
        <f>IF($B111="Risk",COUNTIF($B$2:B111,"Risk"),"")</f>
        <v/>
      </c>
    </row>
    <row r="112" spans="1:19" ht="12.75" customHeight="1" x14ac:dyDescent="0.25">
      <c r="S112" t="str">
        <f>IF($B112="Risk",COUNTIF($B$2:B112,"Risk"),"")</f>
        <v/>
      </c>
    </row>
    <row r="113" spans="19:19" ht="12.75" customHeight="1" x14ac:dyDescent="0.25">
      <c r="S113" t="str">
        <f>IF($B113="Risk",COUNTIF($B$2:B113,"Risk"),"")</f>
        <v/>
      </c>
    </row>
    <row r="114" spans="19:19" ht="12.75" customHeight="1" x14ac:dyDescent="0.25">
      <c r="S114" t="str">
        <f>IF($B114="Risk",COUNTIF($B$2:B114,"Risk"),"")</f>
        <v/>
      </c>
    </row>
    <row r="115" spans="19:19" ht="12.75" customHeight="1" x14ac:dyDescent="0.25">
      <c r="S115" t="str">
        <f>IF($B115="Risk",COUNTIF($B$2:B115,"Risk"),"")</f>
        <v/>
      </c>
    </row>
    <row r="116" spans="19:19" ht="12.75" customHeight="1" x14ac:dyDescent="0.25">
      <c r="S116" t="str">
        <f>IF($B116="Risk",COUNTIF($B$2:B116,"Risk"),"")</f>
        <v/>
      </c>
    </row>
    <row r="117" spans="19:19" ht="12.75" customHeight="1" x14ac:dyDescent="0.25">
      <c r="S117" t="str">
        <f>IF($B117="Risk",COUNTIF($B$2:B117,"Risk"),"")</f>
        <v/>
      </c>
    </row>
    <row r="118" spans="19:19" ht="12.75" customHeight="1" x14ac:dyDescent="0.25">
      <c r="S118" t="str">
        <f>IF($B118="Risk",COUNTIF($B$2:B118,"Risk"),"")</f>
        <v/>
      </c>
    </row>
    <row r="119" spans="19:19" ht="12.75" customHeight="1" x14ac:dyDescent="0.25">
      <c r="S119" t="str">
        <f>IF($B119="Risk",COUNTIF($B$2:B119,"Risk"),"")</f>
        <v/>
      </c>
    </row>
    <row r="120" spans="19:19" ht="12.75" customHeight="1" x14ac:dyDescent="0.25">
      <c r="S120" t="str">
        <f>IF($B120="Risk",COUNTIF($B$2:B120,"Risk"),"")</f>
        <v/>
      </c>
    </row>
    <row r="121" spans="19:19" ht="12.75" customHeight="1" x14ac:dyDescent="0.25">
      <c r="S121" t="str">
        <f>IF($B121="Risk",COUNTIF($B$2:B121,"Risk"),"")</f>
        <v/>
      </c>
    </row>
    <row r="122" spans="19:19" ht="12.75" customHeight="1" x14ac:dyDescent="0.25">
      <c r="S122" t="str">
        <f>IF($B122="Risk",COUNTIF($B$2:B122,"Risk"),"")</f>
        <v/>
      </c>
    </row>
    <row r="123" spans="19:19" ht="12.75" customHeight="1" x14ac:dyDescent="0.25">
      <c r="S123" t="str">
        <f>IF($B123="Risk",COUNTIF($B$2:B123,"Risk"),"")</f>
        <v/>
      </c>
    </row>
    <row r="124" spans="19:19" ht="12.75" customHeight="1" x14ac:dyDescent="0.25">
      <c r="S124" t="str">
        <f>IF($B124="Risk",COUNTIF($B$2:B124,"Risk"),"")</f>
        <v/>
      </c>
    </row>
    <row r="125" spans="19:19" ht="12.75" customHeight="1" x14ac:dyDescent="0.25">
      <c r="S125" t="str">
        <f>IF($B125="Risk",COUNTIF($B$2:B125,"Risk"),"")</f>
        <v/>
      </c>
    </row>
    <row r="126" spans="19:19" ht="12.75" customHeight="1" x14ac:dyDescent="0.25">
      <c r="S126" t="str">
        <f>IF($B126="Risk",COUNTIF($B$2:B126,"Risk"),"")</f>
        <v/>
      </c>
    </row>
    <row r="127" spans="19:19" ht="12.75" customHeight="1" x14ac:dyDescent="0.25">
      <c r="S127" t="str">
        <f>IF($B127="Risk",COUNTIF($B$2:B127,"Risk"),"")</f>
        <v/>
      </c>
    </row>
    <row r="128" spans="19:19" ht="12.75" customHeight="1" x14ac:dyDescent="0.25">
      <c r="S128" t="str">
        <f>IF($B128="Risk",COUNTIF($B$2:B128,"Risk"),"")</f>
        <v/>
      </c>
    </row>
    <row r="129" spans="19:19" ht="12.75" customHeight="1" x14ac:dyDescent="0.25">
      <c r="S129" t="str">
        <f>IF($B129="Risk",COUNTIF($B$2:B129,"Risk"),"")</f>
        <v/>
      </c>
    </row>
    <row r="130" spans="19:19" ht="12.75" customHeight="1" x14ac:dyDescent="0.25">
      <c r="S130" t="str">
        <f>IF($B130="Risk",COUNTIF($B$2:B130,"Risk"),"")</f>
        <v/>
      </c>
    </row>
    <row r="131" spans="19:19" ht="12.75" customHeight="1" x14ac:dyDescent="0.25">
      <c r="S131" t="str">
        <f>IF($B131="Risk",COUNTIF($B$2:B131,"Risk"),"")</f>
        <v/>
      </c>
    </row>
    <row r="132" spans="19:19" ht="12.75" customHeight="1" x14ac:dyDescent="0.25">
      <c r="S132" t="str">
        <f>IF($B132="Risk",COUNTIF($B$2:B132,"Risk"),"")</f>
        <v/>
      </c>
    </row>
    <row r="133" spans="19:19" ht="12.75" customHeight="1" x14ac:dyDescent="0.25">
      <c r="S133" t="str">
        <f>IF($B133="Risk",COUNTIF($B$2:B133,"Risk"),"")</f>
        <v/>
      </c>
    </row>
    <row r="134" spans="19:19" ht="12.75" customHeight="1" x14ac:dyDescent="0.25">
      <c r="S134" t="str">
        <f>IF($B134="Risk",COUNTIF($B$2:B134,"Risk"),"")</f>
        <v/>
      </c>
    </row>
    <row r="135" spans="19:19" ht="12.75" customHeight="1" x14ac:dyDescent="0.25">
      <c r="S135" t="str">
        <f>IF($B135="Risk",COUNTIF($B$2:B135,"Risk"),"")</f>
        <v/>
      </c>
    </row>
    <row r="136" spans="19:19" ht="12.75" customHeight="1" x14ac:dyDescent="0.25">
      <c r="S136" t="str">
        <f>IF($B136="Risk",COUNTIF($B$2:B136,"Risk"),"")</f>
        <v/>
      </c>
    </row>
    <row r="137" spans="19:19" ht="12.75" customHeight="1" x14ac:dyDescent="0.25">
      <c r="S137" t="str">
        <f>IF($B137="Risk",COUNTIF($B$2:B137,"Risk"),"")</f>
        <v/>
      </c>
    </row>
    <row r="138" spans="19:19" ht="12.75" customHeight="1" x14ac:dyDescent="0.25">
      <c r="S138" t="str">
        <f>IF($B138="Risk",COUNTIF($B$2:B138,"Risk"),"")</f>
        <v/>
      </c>
    </row>
    <row r="139" spans="19:19" ht="12.75" customHeight="1" x14ac:dyDescent="0.25">
      <c r="S139" t="str">
        <f>IF($B139="Risk",COUNTIF($B$2:B139,"Risk"),"")</f>
        <v/>
      </c>
    </row>
    <row r="140" spans="19:19" ht="12.75" customHeight="1" x14ac:dyDescent="0.25">
      <c r="S140" t="str">
        <f>IF($B140="Risk",COUNTIF($B$2:B140,"Risk"),"")</f>
        <v/>
      </c>
    </row>
    <row r="141" spans="19:19" ht="12.75" customHeight="1" x14ac:dyDescent="0.25">
      <c r="S141" t="str">
        <f>IF($B141="Risk",COUNTIF($B$2:B141,"Risk"),"")</f>
        <v/>
      </c>
    </row>
    <row r="142" spans="19:19" ht="12.75" customHeight="1" x14ac:dyDescent="0.25">
      <c r="S142" t="str">
        <f>IF($B142="Risk",COUNTIF($B$2:B142,"Risk"),"")</f>
        <v/>
      </c>
    </row>
    <row r="143" spans="19:19" ht="12.75" customHeight="1" x14ac:dyDescent="0.25">
      <c r="S143" t="str">
        <f>IF($B143="Risk",COUNTIF($B$2:B143,"Risk"),"")</f>
        <v/>
      </c>
    </row>
    <row r="144" spans="19:19" ht="12.75" customHeight="1" x14ac:dyDescent="0.25">
      <c r="S144" t="str">
        <f>IF($B144="Risk",COUNTIF($B$2:B144,"Risk"),"")</f>
        <v/>
      </c>
    </row>
    <row r="145" spans="19:19" ht="12.75" customHeight="1" x14ac:dyDescent="0.25">
      <c r="S145" t="str">
        <f>IF($B145="Risk",COUNTIF($B$2:B145,"Risk"),"")</f>
        <v/>
      </c>
    </row>
    <row r="146" spans="19:19" ht="12.75" customHeight="1" x14ac:dyDescent="0.25">
      <c r="S146" t="str">
        <f>IF($B146="Risk",COUNTIF($B$2:B146,"Risk"),"")</f>
        <v/>
      </c>
    </row>
    <row r="147" spans="19:19" ht="12.75" customHeight="1" x14ac:dyDescent="0.25">
      <c r="S147" t="str">
        <f>IF($B147="Risk",COUNTIF($B$2:B147,"Risk"),"")</f>
        <v/>
      </c>
    </row>
    <row r="148" spans="19:19" ht="12.75" customHeight="1" x14ac:dyDescent="0.25">
      <c r="S148" t="str">
        <f>IF($B148="Risk",COUNTIF($B$2:B148,"Risk"),"")</f>
        <v/>
      </c>
    </row>
    <row r="149" spans="19:19" ht="12.75" customHeight="1" x14ac:dyDescent="0.25">
      <c r="S149" t="str">
        <f>IF($B149="Risk",COUNTIF($B$2:B149,"Risk"),"")</f>
        <v/>
      </c>
    </row>
    <row r="150" spans="19:19" ht="12.75" customHeight="1" x14ac:dyDescent="0.25">
      <c r="S150" t="str">
        <f>IF($B150="Risk",COUNTIF($B$2:B150,"Risk"),"")</f>
        <v/>
      </c>
    </row>
    <row r="151" spans="19:19" ht="12.75" customHeight="1" x14ac:dyDescent="0.25">
      <c r="S151" t="str">
        <f>IF($B151="Risk",COUNTIF($B$2:B151,"Risk"),"")</f>
        <v/>
      </c>
    </row>
    <row r="152" spans="19:19" ht="12.75" customHeight="1" x14ac:dyDescent="0.25">
      <c r="S152" t="str">
        <f>IF($B152="Risk",COUNTIF($B$2:B152,"Risk"),"")</f>
        <v/>
      </c>
    </row>
    <row r="153" spans="19:19" ht="12.75" customHeight="1" x14ac:dyDescent="0.25">
      <c r="S153" t="str">
        <f>IF($B153="Risk",COUNTIF($B$2:B153,"Risk"),"")</f>
        <v/>
      </c>
    </row>
    <row r="154" spans="19:19" ht="12.75" customHeight="1" x14ac:dyDescent="0.25">
      <c r="S154" t="str">
        <f>IF($B154="Risk",COUNTIF($B$2:B154,"Risk"),"")</f>
        <v/>
      </c>
    </row>
    <row r="155" spans="19:19" ht="12.75" customHeight="1" x14ac:dyDescent="0.25">
      <c r="S155" t="str">
        <f>IF($B155="Risk",COUNTIF($B$2:B155,"Risk"),"")</f>
        <v/>
      </c>
    </row>
    <row r="156" spans="19:19" ht="12.75" customHeight="1" x14ac:dyDescent="0.25">
      <c r="S156" t="str">
        <f>IF($B156="Risk",COUNTIF($B$2:B156,"Risk"),"")</f>
        <v/>
      </c>
    </row>
    <row r="157" spans="19:19" ht="12.75" customHeight="1" x14ac:dyDescent="0.25">
      <c r="S157" t="str">
        <f>IF($B157="Risk",COUNTIF($B$2:B157,"Risk"),"")</f>
        <v/>
      </c>
    </row>
    <row r="158" spans="19:19" ht="12.75" customHeight="1" x14ac:dyDescent="0.25">
      <c r="S158" t="str">
        <f>IF($B158="Risk",COUNTIF($B$2:B158,"Risk"),"")</f>
        <v/>
      </c>
    </row>
    <row r="159" spans="19:19" ht="12.75" customHeight="1" x14ac:dyDescent="0.25">
      <c r="S159" t="str">
        <f>IF($B159="Risk",COUNTIF($B$2:B159,"Risk"),"")</f>
        <v/>
      </c>
    </row>
    <row r="160" spans="19:19" ht="12.75" customHeight="1" x14ac:dyDescent="0.25">
      <c r="S160" t="str">
        <f>IF($B160="Risk",COUNTIF($B$2:B160,"Risk"),"")</f>
        <v/>
      </c>
    </row>
    <row r="161" spans="19:19" ht="12.75" customHeight="1" x14ac:dyDescent="0.25">
      <c r="S161" t="str">
        <f>IF($B161="Risk",COUNTIF($B$2:B161,"Risk"),"")</f>
        <v/>
      </c>
    </row>
    <row r="162" spans="19:19" ht="12.75" customHeight="1" x14ac:dyDescent="0.25">
      <c r="S162" t="str">
        <f>IF($B162="Risk",COUNTIF($B$2:B162,"Risk"),"")</f>
        <v/>
      </c>
    </row>
    <row r="163" spans="19:19" ht="12.75" customHeight="1" x14ac:dyDescent="0.25">
      <c r="S163" t="str">
        <f>IF($B163="Risk",COUNTIF($B$2:B163,"Risk"),"")</f>
        <v/>
      </c>
    </row>
    <row r="164" spans="19:19" ht="12.75" customHeight="1" x14ac:dyDescent="0.25">
      <c r="S164" t="str">
        <f>IF($B164="Risk",COUNTIF($B$2:B164,"Risk"),"")</f>
        <v/>
      </c>
    </row>
    <row r="165" spans="19:19" ht="12.75" customHeight="1" x14ac:dyDescent="0.25">
      <c r="S165" t="str">
        <f>IF($B165="Risk",COUNTIF($B$2:B165,"Risk"),"")</f>
        <v/>
      </c>
    </row>
    <row r="166" spans="19:19" ht="12.75" customHeight="1" x14ac:dyDescent="0.25">
      <c r="S166" t="str">
        <f>IF($B166="Risk",COUNTIF($B$2:B166,"Risk"),"")</f>
        <v/>
      </c>
    </row>
    <row r="167" spans="19:19" ht="12.75" customHeight="1" x14ac:dyDescent="0.25">
      <c r="S167" t="str">
        <f>IF($B167="Risk",COUNTIF($B$2:B167,"Risk"),"")</f>
        <v/>
      </c>
    </row>
    <row r="168" spans="19:19" ht="12.75" customHeight="1" x14ac:dyDescent="0.25">
      <c r="S168" t="str">
        <f>IF($B168="Risk",COUNTIF($B$2:B168,"Risk"),"")</f>
        <v/>
      </c>
    </row>
    <row r="169" spans="19:19" ht="12.75" customHeight="1" x14ac:dyDescent="0.25">
      <c r="S169" t="str">
        <f>IF($B169="Risk",COUNTIF($B$2:B169,"Risk"),"")</f>
        <v/>
      </c>
    </row>
    <row r="170" spans="19:19" ht="12.75" customHeight="1" x14ac:dyDescent="0.25">
      <c r="S170" t="str">
        <f>IF($B170="Risk",COUNTIF($B$2:B170,"Risk"),"")</f>
        <v/>
      </c>
    </row>
    <row r="171" spans="19:19" ht="12.75" customHeight="1" x14ac:dyDescent="0.25">
      <c r="S171" t="str">
        <f>IF($B171="Risk",COUNTIF($B$2:B171,"Risk"),"")</f>
        <v/>
      </c>
    </row>
    <row r="172" spans="19:19" ht="12.75" customHeight="1" x14ac:dyDescent="0.25">
      <c r="S172" t="str">
        <f>IF($B172="Risk",COUNTIF($B$2:B172,"Risk"),"")</f>
        <v/>
      </c>
    </row>
    <row r="173" spans="19:19" ht="12.75" customHeight="1" x14ac:dyDescent="0.25">
      <c r="S173" t="str">
        <f>IF($B173="Risk",COUNTIF($B$2:B173,"Risk"),"")</f>
        <v/>
      </c>
    </row>
    <row r="174" spans="19:19" ht="12.75" customHeight="1" x14ac:dyDescent="0.25">
      <c r="S174" t="str">
        <f>IF($B174="Risk",COUNTIF($B$2:B174,"Risk"),"")</f>
        <v/>
      </c>
    </row>
    <row r="175" spans="19:19" ht="12.75" customHeight="1" x14ac:dyDescent="0.25">
      <c r="S175" t="str">
        <f>IF($B175="Risk",COUNTIF($B$2:B175,"Risk"),"")</f>
        <v/>
      </c>
    </row>
    <row r="176" spans="19:19" ht="12.75" customHeight="1" x14ac:dyDescent="0.25">
      <c r="S176" t="str">
        <f>IF($B176="Risk",COUNTIF($B$2:B176,"Risk"),"")</f>
        <v/>
      </c>
    </row>
    <row r="177" spans="19:19" ht="12.75" customHeight="1" x14ac:dyDescent="0.25">
      <c r="S177" t="str">
        <f>IF($B177="Risk",COUNTIF($B$2:B177,"Risk"),"")</f>
        <v/>
      </c>
    </row>
    <row r="178" spans="19:19" ht="12.75" customHeight="1" x14ac:dyDescent="0.25">
      <c r="S178" t="str">
        <f>IF($B178="Risk",COUNTIF($B$2:B178,"Risk"),"")</f>
        <v/>
      </c>
    </row>
    <row r="179" spans="19:19" ht="12.75" customHeight="1" x14ac:dyDescent="0.25">
      <c r="S179" t="str">
        <f>IF($B179="Risk",COUNTIF($B$2:B179,"Risk"),"")</f>
        <v/>
      </c>
    </row>
    <row r="180" spans="19:19" ht="12.75" customHeight="1" x14ac:dyDescent="0.25">
      <c r="S180" t="str">
        <f>IF($B180="Risk",COUNTIF($B$2:B180,"Risk"),"")</f>
        <v/>
      </c>
    </row>
    <row r="181" spans="19:19" ht="12.75" customHeight="1" x14ac:dyDescent="0.25">
      <c r="S181" t="str">
        <f>IF($B181="Risk",COUNTIF($B$2:B181,"Risk"),"")</f>
        <v/>
      </c>
    </row>
    <row r="182" spans="19:19" ht="12.75" customHeight="1" x14ac:dyDescent="0.25">
      <c r="S182" t="str">
        <f>IF($B182="Risk",COUNTIF($B$2:B182,"Risk"),"")</f>
        <v/>
      </c>
    </row>
    <row r="183" spans="19:19" ht="12.75" customHeight="1" x14ac:dyDescent="0.25">
      <c r="S183" t="str">
        <f>IF($B183="Risk",COUNTIF($B$2:B183,"Risk"),"")</f>
        <v/>
      </c>
    </row>
    <row r="184" spans="19:19" ht="12.75" customHeight="1" x14ac:dyDescent="0.25">
      <c r="S184" t="str">
        <f>IF($B184="Risk",COUNTIF($B$2:B184,"Risk"),"")</f>
        <v/>
      </c>
    </row>
    <row r="185" spans="19:19" ht="12.75" customHeight="1" x14ac:dyDescent="0.25">
      <c r="S185" t="str">
        <f>IF($B185="Risk",COUNTIF($B$2:B185,"Risk"),"")</f>
        <v/>
      </c>
    </row>
    <row r="186" spans="19:19" ht="12.75" customHeight="1" x14ac:dyDescent="0.25">
      <c r="S186" t="str">
        <f>IF($B186="Risk",COUNTIF($B$2:B186,"Risk"),"")</f>
        <v/>
      </c>
    </row>
    <row r="187" spans="19:19" ht="12.75" customHeight="1" x14ac:dyDescent="0.25">
      <c r="S187" t="str">
        <f>IF($B187="Risk",COUNTIF($B$2:B187,"Risk"),"")</f>
        <v/>
      </c>
    </row>
    <row r="188" spans="19:19" ht="12.75" customHeight="1" x14ac:dyDescent="0.25">
      <c r="S188" t="str">
        <f>IF($B188="Risk",COUNTIF($B$2:B188,"Risk"),"")</f>
        <v/>
      </c>
    </row>
    <row r="189" spans="19:19" ht="12.75" customHeight="1" x14ac:dyDescent="0.25">
      <c r="S189" t="str">
        <f>IF($B189="Risk",COUNTIF($B$2:B189,"Risk"),"")</f>
        <v/>
      </c>
    </row>
    <row r="190" spans="19:19" ht="12.75" customHeight="1" x14ac:dyDescent="0.25">
      <c r="S190" t="str">
        <f>IF($B190="Risk",COUNTIF($B$2:B190,"Risk"),"")</f>
        <v/>
      </c>
    </row>
    <row r="191" spans="19:19" ht="12.75" customHeight="1" x14ac:dyDescent="0.25">
      <c r="S191" t="str">
        <f>IF($B191="Risk",COUNTIF($B$2:B191,"Risk"),"")</f>
        <v/>
      </c>
    </row>
    <row r="192" spans="19:19" ht="12.75" customHeight="1" x14ac:dyDescent="0.25">
      <c r="S192" t="str">
        <f>IF($B192="Risk",COUNTIF($B$2:B192,"Risk"),"")</f>
        <v/>
      </c>
    </row>
    <row r="193" spans="19:19" ht="12.75" customHeight="1" x14ac:dyDescent="0.25">
      <c r="S193" t="str">
        <f>IF($B193="Risk",COUNTIF($B$2:B193,"Risk"),"")</f>
        <v/>
      </c>
    </row>
    <row r="194" spans="19:19" ht="12.75" customHeight="1" x14ac:dyDescent="0.25">
      <c r="S194" t="str">
        <f>IF($B194="Risk",COUNTIF($B$2:B194,"Risk"),"")</f>
        <v/>
      </c>
    </row>
    <row r="195" spans="19:19" ht="12.75" customHeight="1" x14ac:dyDescent="0.25">
      <c r="S195" t="str">
        <f>IF($B195="Risk",COUNTIF($B$2:B195,"Risk"),"")</f>
        <v/>
      </c>
    </row>
    <row r="196" spans="19:19" ht="12.75" customHeight="1" x14ac:dyDescent="0.25">
      <c r="S196" t="str">
        <f>IF($B196="Risk",COUNTIF($B$2:B196,"Risk"),"")</f>
        <v/>
      </c>
    </row>
    <row r="197" spans="19:19" ht="12.75" customHeight="1" x14ac:dyDescent="0.25">
      <c r="S197" t="str">
        <f>IF($B197="Risk",COUNTIF($B$2:B197,"Risk"),"")</f>
        <v/>
      </c>
    </row>
    <row r="198" spans="19:19" ht="12.75" customHeight="1" x14ac:dyDescent="0.25">
      <c r="S198" t="str">
        <f>IF($B198="Risk",COUNTIF($B$2:B198,"Risk"),"")</f>
        <v/>
      </c>
    </row>
    <row r="199" spans="19:19" ht="12.75" customHeight="1" x14ac:dyDescent="0.25">
      <c r="S199" t="str">
        <f>IF($B199="Risk",COUNTIF($B$2:B199,"Risk"),"")</f>
        <v/>
      </c>
    </row>
    <row r="200" spans="19:19" ht="12.75" customHeight="1" x14ac:dyDescent="0.25">
      <c r="S200" t="str">
        <f>IF($B200="Risk",COUNTIF($B$2:B200,"Risk"),"")</f>
        <v/>
      </c>
    </row>
    <row r="201" spans="19:19" ht="12.75" customHeight="1" x14ac:dyDescent="0.25">
      <c r="S201" t="str">
        <f>IF($B201="Risk",COUNTIF($B$2:B201,"Risk"),"")</f>
        <v/>
      </c>
    </row>
    <row r="210" spans="19:19" ht="12.75" customHeight="1" x14ac:dyDescent="0.25">
      <c r="S210" t="str">
        <f>IF($B210="Risk",COUNTIF($B$2:B210,"Risk"),"")</f>
        <v/>
      </c>
    </row>
    <row r="211" spans="19:19" ht="12.75" customHeight="1" x14ac:dyDescent="0.25">
      <c r="S211" t="str">
        <f>IF($B211="Risk",COUNTIF($B$2:B211,"Risk"),"")</f>
        <v/>
      </c>
    </row>
    <row r="212" spans="19:19" ht="12.75" customHeight="1" x14ac:dyDescent="0.25">
      <c r="S212" t="str">
        <f>IF($B212="Risk",COUNTIF($B$2:B212,"Risk"),"")</f>
        <v/>
      </c>
    </row>
    <row r="213" spans="19:19" ht="12.75" customHeight="1" x14ac:dyDescent="0.25">
      <c r="S213" t="str">
        <f>IF($B213="Risk",COUNTIF($B$2:B213,"Risk"),"")</f>
        <v/>
      </c>
    </row>
    <row r="214" spans="19:19" ht="12.75" customHeight="1" x14ac:dyDescent="0.25">
      <c r="S214" t="str">
        <f>IF($B214="Risk",COUNTIF($B$2:B214,"Risk"),"")</f>
        <v/>
      </c>
    </row>
    <row r="215" spans="19:19" ht="12.75" customHeight="1" x14ac:dyDescent="0.25">
      <c r="S215" t="str">
        <f>IF($B215="Risk",COUNTIF($B$2:B215,"Risk"),"")</f>
        <v/>
      </c>
    </row>
    <row r="216" spans="19:19" ht="12.75" customHeight="1" x14ac:dyDescent="0.25">
      <c r="S216" t="str">
        <f>IF($B216="Risk",COUNTIF($B$2:B216,"Risk"),"")</f>
        <v/>
      </c>
    </row>
    <row r="217" spans="19:19" ht="12.75" customHeight="1" x14ac:dyDescent="0.25">
      <c r="S217" t="str">
        <f>IF($B217="Risk",COUNTIF($B$2:B217,"Risk"),"")</f>
        <v/>
      </c>
    </row>
    <row r="218" spans="19:19" ht="12.75" customHeight="1" x14ac:dyDescent="0.25">
      <c r="S218" t="str">
        <f>IF($B218="Risk",COUNTIF($B$2:B218,"Risk"),"")</f>
        <v/>
      </c>
    </row>
    <row r="219" spans="19:19" ht="12.75" customHeight="1" x14ac:dyDescent="0.25">
      <c r="S219" t="str">
        <f>IF($B219="Risk",COUNTIF($B$2:B219,"Risk"),"")</f>
        <v/>
      </c>
    </row>
    <row r="220" spans="19:19" ht="12.75" customHeight="1" x14ac:dyDescent="0.25">
      <c r="S220" t="str">
        <f>IF($B220="Risk",COUNTIF($B$2:B220,"Risk"),"")</f>
        <v/>
      </c>
    </row>
    <row r="221" spans="19:19" ht="12.75" customHeight="1" x14ac:dyDescent="0.25">
      <c r="S221" t="str">
        <f>IF($B221="Risk",COUNTIF($B$2:B221,"Risk"),"")</f>
        <v/>
      </c>
    </row>
    <row r="222" spans="19:19" ht="12.75" customHeight="1" x14ac:dyDescent="0.25">
      <c r="S222" t="str">
        <f>IF($B222="Risk",COUNTIF($B$2:B222,"Risk"),"")</f>
        <v/>
      </c>
    </row>
    <row r="223" spans="19:19" ht="12.75" customHeight="1" x14ac:dyDescent="0.25">
      <c r="S223" t="str">
        <f>IF($B223="Risk",COUNTIF($B$2:B223,"Risk"),"")</f>
        <v/>
      </c>
    </row>
    <row r="224" spans="19:19" ht="12.75" customHeight="1" x14ac:dyDescent="0.25">
      <c r="S224" t="str">
        <f>IF($B224="Risk",COUNTIF($B$2:B224,"Risk"),"")</f>
        <v/>
      </c>
    </row>
    <row r="225" spans="19:19" ht="12.75" customHeight="1" x14ac:dyDescent="0.25">
      <c r="S225" t="str">
        <f>IF($B225="Risk",COUNTIF($B$2:B225,"Risk"),"")</f>
        <v/>
      </c>
    </row>
    <row r="226" spans="19:19" ht="12.75" customHeight="1" x14ac:dyDescent="0.25">
      <c r="S226" t="str">
        <f>IF($B226="Risk",COUNTIF($B$2:B226,"Risk"),"")</f>
        <v/>
      </c>
    </row>
    <row r="227" spans="19:19" ht="12.75" customHeight="1" x14ac:dyDescent="0.25">
      <c r="S227" t="str">
        <f>IF($B227="Risk",COUNTIF($B$2:B227,"Risk"),"")</f>
        <v/>
      </c>
    </row>
    <row r="228" spans="19:19" ht="12.75" customHeight="1" x14ac:dyDescent="0.25">
      <c r="S228" t="str">
        <f>IF($B228="Risk",COUNTIF($B$2:B228,"Risk"),"")</f>
        <v/>
      </c>
    </row>
    <row r="229" spans="19:19" ht="12.75" customHeight="1" x14ac:dyDescent="0.25">
      <c r="S229" t="str">
        <f>IF($B229="Risk",COUNTIF($B$2:B229,"Risk"),"")</f>
        <v/>
      </c>
    </row>
    <row r="230" spans="19:19" ht="12.75" customHeight="1" x14ac:dyDescent="0.25">
      <c r="S230" t="str">
        <f>IF($B230="Risk",COUNTIF($B$2:B230,"Risk"),"")</f>
        <v/>
      </c>
    </row>
    <row r="231" spans="19:19" ht="12.75" customHeight="1" x14ac:dyDescent="0.25">
      <c r="S231" t="str">
        <f>IF($B231="Risk",COUNTIF($B$2:B231,"Risk"),"")</f>
        <v/>
      </c>
    </row>
    <row r="232" spans="19:19" ht="12.75" customHeight="1" x14ac:dyDescent="0.25">
      <c r="S232" t="str">
        <f>IF($B232="Risk",COUNTIF($B$2:B232,"Risk"),"")</f>
        <v/>
      </c>
    </row>
    <row r="233" spans="19:19" ht="12.75" customHeight="1" x14ac:dyDescent="0.25">
      <c r="S233" t="str">
        <f>IF($B233="Risk",COUNTIF($B$2:B233,"Risk"),"")</f>
        <v/>
      </c>
    </row>
    <row r="234" spans="19:19" ht="12.75" customHeight="1" x14ac:dyDescent="0.25">
      <c r="S234" t="str">
        <f>IF($B234="Risk",COUNTIF($B$2:B234,"Risk"),"")</f>
        <v/>
      </c>
    </row>
    <row r="235" spans="19:19" ht="12.75" customHeight="1" x14ac:dyDescent="0.25">
      <c r="S235" t="str">
        <f>IF($B235="Risk",COUNTIF($B$2:B235,"Risk"),"")</f>
        <v/>
      </c>
    </row>
    <row r="236" spans="19:19" ht="12.75" customHeight="1" x14ac:dyDescent="0.25">
      <c r="S236" t="str">
        <f>IF($B236="Risk",COUNTIF($B$2:B236,"Risk"),"")</f>
        <v/>
      </c>
    </row>
    <row r="237" spans="19:19" ht="12.75" customHeight="1" x14ac:dyDescent="0.25">
      <c r="S237" t="str">
        <f>IF($B237="Risk",COUNTIF($B$2:B237,"Risk"),"")</f>
        <v/>
      </c>
    </row>
    <row r="238" spans="19:19" ht="12.75" customHeight="1" x14ac:dyDescent="0.25">
      <c r="S238" t="str">
        <f>IF($B238="Risk",COUNTIF($B$2:B238,"Risk"),"")</f>
        <v/>
      </c>
    </row>
    <row r="239" spans="19:19" ht="12.75" customHeight="1" x14ac:dyDescent="0.25">
      <c r="S239" t="str">
        <f>IF($B239="Risk",COUNTIF($B$2:B239,"Risk"),"")</f>
        <v/>
      </c>
    </row>
    <row r="240" spans="19:19" ht="12.75" customHeight="1" x14ac:dyDescent="0.25">
      <c r="S240" t="str">
        <f>IF($B240="Risk",COUNTIF($B$2:B240,"Risk"),"")</f>
        <v/>
      </c>
    </row>
    <row r="241" spans="19:19" ht="12.75" customHeight="1" x14ac:dyDescent="0.25">
      <c r="S241" t="str">
        <f>IF($B241="Risk",COUNTIF($B$2:B241,"Risk"),"")</f>
        <v/>
      </c>
    </row>
    <row r="242" spans="19:19" ht="12.75" customHeight="1" x14ac:dyDescent="0.25">
      <c r="S242" t="str">
        <f>IF($B242="Risk",COUNTIF($B$2:B242,"Risk"),"")</f>
        <v/>
      </c>
    </row>
    <row r="243" spans="19:19" ht="12.75" customHeight="1" x14ac:dyDescent="0.25">
      <c r="S243" t="str">
        <f>IF($B243="Risk",COUNTIF($B$2:B243,"Risk"),"")</f>
        <v/>
      </c>
    </row>
    <row r="244" spans="19:19" ht="12.75" customHeight="1" x14ac:dyDescent="0.25">
      <c r="S244" t="str">
        <f>IF($B244="Risk",COUNTIF($B$2:B244,"Risk"),"")</f>
        <v/>
      </c>
    </row>
    <row r="245" spans="19:19" ht="12.75" customHeight="1" x14ac:dyDescent="0.25">
      <c r="S245" t="str">
        <f>IF($B245="Risk",COUNTIF($B$2:B245,"Risk"),"")</f>
        <v/>
      </c>
    </row>
    <row r="246" spans="19:19" ht="12.75" customHeight="1" x14ac:dyDescent="0.25">
      <c r="S246" t="str">
        <f>IF($B246="Risk",COUNTIF($B$2:B246,"Risk"),"")</f>
        <v/>
      </c>
    </row>
    <row r="247" spans="19:19" ht="12.75" customHeight="1" x14ac:dyDescent="0.25">
      <c r="S247" t="str">
        <f>IF($B247="Risk",COUNTIF($B$2:B247,"Risk"),"")</f>
        <v/>
      </c>
    </row>
    <row r="248" spans="19:19" ht="12.75" customHeight="1" x14ac:dyDescent="0.25">
      <c r="S248" t="str">
        <f>IF($B248="Risk",COUNTIF($B$2:B248,"Risk"),"")</f>
        <v/>
      </c>
    </row>
    <row r="249" spans="19:19" ht="12.75" customHeight="1" x14ac:dyDescent="0.25">
      <c r="S249" t="str">
        <f>IF($B249="Risk",COUNTIF($B$2:B249,"Risk"),"")</f>
        <v/>
      </c>
    </row>
    <row r="250" spans="19:19" ht="12.75" customHeight="1" x14ac:dyDescent="0.25">
      <c r="S250" t="str">
        <f>IF($B250="Risk",COUNTIF($B$2:B250,"Risk"),"")</f>
        <v/>
      </c>
    </row>
    <row r="251" spans="19:19" ht="12.75" customHeight="1" x14ac:dyDescent="0.25">
      <c r="S251" t="str">
        <f>IF($B251="Risk",COUNTIF($B$2:B251,"Risk"),"")</f>
        <v/>
      </c>
    </row>
    <row r="252" spans="19:19" ht="12.75" customHeight="1" x14ac:dyDescent="0.25">
      <c r="S252" t="str">
        <f>IF($B252="Risk",COUNTIF($B$2:B252,"Risk"),"")</f>
        <v/>
      </c>
    </row>
    <row r="253" spans="19:19" ht="12.75" customHeight="1" x14ac:dyDescent="0.25">
      <c r="S253" t="str">
        <f>IF($B253="Risk",COUNTIF($B$2:B253,"Risk"),"")</f>
        <v/>
      </c>
    </row>
    <row r="254" spans="19:19" ht="12.75" customHeight="1" x14ac:dyDescent="0.25">
      <c r="S254" t="str">
        <f>IF($B254="Risk",COUNTIF($B$2:B254,"Risk"),"")</f>
        <v/>
      </c>
    </row>
    <row r="255" spans="19:19" ht="12.75" customHeight="1" x14ac:dyDescent="0.25">
      <c r="S255" t="str">
        <f>IF($B255="Risk",COUNTIF($B$2:B255,"Risk"),"")</f>
        <v/>
      </c>
    </row>
    <row r="256" spans="19:19" ht="12.75" customHeight="1" x14ac:dyDescent="0.25">
      <c r="S256" t="str">
        <f>IF($B256="Risk",COUNTIF($B$2:B256,"Risk"),"")</f>
        <v/>
      </c>
    </row>
    <row r="257" spans="19:19" ht="12.75" customHeight="1" x14ac:dyDescent="0.25">
      <c r="S257" t="str">
        <f>IF($B257="Risk",COUNTIF($B$2:B257,"Risk"),"")</f>
        <v/>
      </c>
    </row>
    <row r="258" spans="19:19" ht="12.75" customHeight="1" x14ac:dyDescent="0.25">
      <c r="S258" t="str">
        <f>IF($B258="Risk",COUNTIF($B$2:B258,"Risk"),"")</f>
        <v/>
      </c>
    </row>
    <row r="259" spans="19:19" ht="12.75" customHeight="1" x14ac:dyDescent="0.25">
      <c r="S259" t="str">
        <f>IF($B259="Risk",COUNTIF($B$2:B259,"Risk"),"")</f>
        <v/>
      </c>
    </row>
    <row r="260" spans="19:19" ht="12.75" customHeight="1" x14ac:dyDescent="0.25">
      <c r="S260" t="str">
        <f>IF($B260="Risk",COUNTIF($B$2:B260,"Risk"),"")</f>
        <v/>
      </c>
    </row>
    <row r="261" spans="19:19" ht="12.75" customHeight="1" x14ac:dyDescent="0.25">
      <c r="S261" t="str">
        <f>IF($B261="Risk",COUNTIF($B$2:B261,"Risk"),"")</f>
        <v/>
      </c>
    </row>
    <row r="262" spans="19:19" ht="12.75" customHeight="1" x14ac:dyDescent="0.25">
      <c r="S262" t="str">
        <f>IF($B262="Risk",COUNTIF($B$2:B262,"Risk"),"")</f>
        <v/>
      </c>
    </row>
    <row r="263" spans="19:19" ht="12.75" customHeight="1" x14ac:dyDescent="0.25">
      <c r="S263" t="str">
        <f>IF($B263="Risk",COUNTIF($B$2:B263,"Risk"),"")</f>
        <v/>
      </c>
    </row>
    <row r="264" spans="19:19" ht="12.75" customHeight="1" x14ac:dyDescent="0.25">
      <c r="S264" t="str">
        <f>IF($B264="Risk",COUNTIF($B$2:B264,"Risk"),"")</f>
        <v/>
      </c>
    </row>
    <row r="265" spans="19:19" ht="12.75" customHeight="1" x14ac:dyDescent="0.25">
      <c r="S265" t="str">
        <f>IF($B265="Risk",COUNTIF($B$2:B265,"Risk"),"")</f>
        <v/>
      </c>
    </row>
    <row r="266" spans="19:19" ht="12.75" customHeight="1" x14ac:dyDescent="0.25">
      <c r="S266" t="str">
        <f>IF($B266="Risk",COUNTIF($B$2:B266,"Risk"),"")</f>
        <v/>
      </c>
    </row>
    <row r="267" spans="19:19" ht="12.75" customHeight="1" x14ac:dyDescent="0.25">
      <c r="S267" t="str">
        <f>IF($B267="Risk",COUNTIF($B$2:B267,"Risk"),"")</f>
        <v/>
      </c>
    </row>
    <row r="268" spans="19:19" ht="12.75" customHeight="1" x14ac:dyDescent="0.25">
      <c r="S268" t="str">
        <f>IF($B268="Risk",COUNTIF($B$2:B268,"Risk"),"")</f>
        <v/>
      </c>
    </row>
    <row r="269" spans="19:19" ht="12.75" customHeight="1" x14ac:dyDescent="0.25">
      <c r="S269" t="str">
        <f>IF($B269="Risk",COUNTIF($B$2:B269,"Risk"),"")</f>
        <v/>
      </c>
    </row>
    <row r="270" spans="19:19" ht="12.75" customHeight="1" x14ac:dyDescent="0.25">
      <c r="S270" t="str">
        <f>IF($B270="Risk",COUNTIF($B$2:B270,"Risk"),"")</f>
        <v/>
      </c>
    </row>
    <row r="271" spans="19:19" ht="12.75" customHeight="1" x14ac:dyDescent="0.25">
      <c r="S271" t="str">
        <f>IF($B271="Risk",COUNTIF($B$2:B271,"Risk"),"")</f>
        <v/>
      </c>
    </row>
    <row r="272" spans="19:19" ht="12.75" customHeight="1" x14ac:dyDescent="0.25">
      <c r="S272" t="str">
        <f>IF($B272="Risk",COUNTIF($B$2:B272,"Risk"),"")</f>
        <v/>
      </c>
    </row>
    <row r="273" spans="19:19" ht="12.75" customHeight="1" x14ac:dyDescent="0.25">
      <c r="S273" t="str">
        <f>IF($B273="Risk",COUNTIF($B$2:B273,"Risk"),"")</f>
        <v/>
      </c>
    </row>
    <row r="274" spans="19:19" ht="12.75" customHeight="1" x14ac:dyDescent="0.25">
      <c r="S274" t="str">
        <f>IF($B274="Risk",COUNTIF($B$2:B274,"Risk"),"")</f>
        <v/>
      </c>
    </row>
    <row r="275" spans="19:19" ht="12.75" customHeight="1" x14ac:dyDescent="0.25">
      <c r="S275" t="str">
        <f>IF($B275="Risk",COUNTIF($B$2:B275,"Risk"),"")</f>
        <v/>
      </c>
    </row>
    <row r="276" spans="19:19" ht="12.75" customHeight="1" x14ac:dyDescent="0.25">
      <c r="S276" t="str">
        <f>IF($B276="Risk",COUNTIF($B$2:B276,"Risk"),"")</f>
        <v/>
      </c>
    </row>
    <row r="277" spans="19:19" ht="12.75" customHeight="1" x14ac:dyDescent="0.25">
      <c r="S277" t="str">
        <f>IF($B277="Risk",COUNTIF($B$2:B277,"Risk"),"")</f>
        <v/>
      </c>
    </row>
    <row r="278" spans="19:19" ht="12.75" customHeight="1" x14ac:dyDescent="0.25">
      <c r="S278" t="str">
        <f>IF($B278="Risk",COUNTIF($B$2:B278,"Risk"),"")</f>
        <v/>
      </c>
    </row>
    <row r="279" spans="19:19" ht="12.75" customHeight="1" x14ac:dyDescent="0.25">
      <c r="S279" t="str">
        <f>IF($B279="Risk",COUNTIF($B$2:B279,"Risk"),"")</f>
        <v/>
      </c>
    </row>
    <row r="280" spans="19:19" ht="12.75" customHeight="1" x14ac:dyDescent="0.25">
      <c r="S280" t="str">
        <f>IF($B280="Risk",COUNTIF($B$2:B280,"Risk"),"")</f>
        <v/>
      </c>
    </row>
    <row r="281" spans="19:19" ht="12.75" customHeight="1" x14ac:dyDescent="0.25">
      <c r="S281" t="str">
        <f>IF($B281="Risk",COUNTIF($B$2:B281,"Risk"),"")</f>
        <v/>
      </c>
    </row>
    <row r="282" spans="19:19" ht="12.75" customHeight="1" x14ac:dyDescent="0.25">
      <c r="S282" t="str">
        <f>IF($B282="Risk",COUNTIF($B$2:B282,"Risk"),"")</f>
        <v/>
      </c>
    </row>
    <row r="283" spans="19:19" ht="12.75" customHeight="1" x14ac:dyDescent="0.25">
      <c r="S283" t="str">
        <f>IF($B283="Risk",COUNTIF($B$2:B283,"Risk"),"")</f>
        <v/>
      </c>
    </row>
    <row r="284" spans="19:19" ht="12.75" customHeight="1" x14ac:dyDescent="0.25">
      <c r="S284" t="str">
        <f>IF($B284="Risk",COUNTIF($B$2:B284,"Risk"),"")</f>
        <v/>
      </c>
    </row>
    <row r="285" spans="19:19" ht="12.75" customHeight="1" x14ac:dyDescent="0.25">
      <c r="S285" t="str">
        <f>IF($B285="Risk",COUNTIF($B$2:B285,"Risk"),"")</f>
        <v/>
      </c>
    </row>
    <row r="286" spans="19:19" ht="12.75" customHeight="1" x14ac:dyDescent="0.25">
      <c r="S286" t="str">
        <f>IF($B286="Risk",COUNTIF($B$2:B286,"Risk"),"")</f>
        <v/>
      </c>
    </row>
    <row r="287" spans="19:19" ht="12.75" customHeight="1" x14ac:dyDescent="0.25">
      <c r="S287" t="str">
        <f>IF($B287="Risk",COUNTIF($B$2:B287,"Risk"),"")</f>
        <v/>
      </c>
    </row>
    <row r="288" spans="19:19" ht="12.75" customHeight="1" x14ac:dyDescent="0.25">
      <c r="S288" t="str">
        <f>IF($B288="Risk",COUNTIF($B$2:B288,"Risk"),"")</f>
        <v/>
      </c>
    </row>
    <row r="289" spans="19:19" ht="12.75" customHeight="1" x14ac:dyDescent="0.25">
      <c r="S289" t="str">
        <f>IF($B289="Risk",COUNTIF($B$2:B289,"Risk"),"")</f>
        <v/>
      </c>
    </row>
    <row r="290" spans="19:19" ht="12.75" customHeight="1" x14ac:dyDescent="0.25">
      <c r="S290" t="str">
        <f>IF($B290="Risk",COUNTIF($B$2:B290,"Risk"),"")</f>
        <v/>
      </c>
    </row>
    <row r="291" spans="19:19" ht="12.75" customHeight="1" x14ac:dyDescent="0.25">
      <c r="S291" t="str">
        <f>IF($B291="Risk",COUNTIF($B$2:B291,"Risk"),"")</f>
        <v/>
      </c>
    </row>
    <row r="292" spans="19:19" ht="12.75" customHeight="1" x14ac:dyDescent="0.25">
      <c r="S292" t="str">
        <f>IF($B292="Risk",COUNTIF($B$2:B292,"Risk"),"")</f>
        <v/>
      </c>
    </row>
    <row r="293" spans="19:19" ht="12.75" customHeight="1" x14ac:dyDescent="0.25">
      <c r="S293" t="str">
        <f>IF($B293="Risk",COUNTIF($B$2:B293,"Risk"),"")</f>
        <v/>
      </c>
    </row>
    <row r="294" spans="19:19" ht="12.75" customHeight="1" x14ac:dyDescent="0.25">
      <c r="S294" t="str">
        <f>IF($B294="Risk",COUNTIF($B$2:B294,"Risk"),"")</f>
        <v/>
      </c>
    </row>
    <row r="295" spans="19:19" ht="12.75" customHeight="1" x14ac:dyDescent="0.25">
      <c r="S295" t="str">
        <f>IF($B295="Risk",COUNTIF($B$2:B295,"Risk"),"")</f>
        <v/>
      </c>
    </row>
    <row r="296" spans="19:19" ht="12.75" customHeight="1" x14ac:dyDescent="0.25">
      <c r="S296" t="str">
        <f>IF($B296="Risk",COUNTIF($B$2:B296,"Risk"),"")</f>
        <v/>
      </c>
    </row>
    <row r="297" spans="19:19" ht="12.75" customHeight="1" x14ac:dyDescent="0.25">
      <c r="S297" t="str">
        <f>IF($B297="Risk",COUNTIF($B$2:B297,"Risk"),"")</f>
        <v/>
      </c>
    </row>
    <row r="298" spans="19:19" ht="12.75" customHeight="1" x14ac:dyDescent="0.25">
      <c r="S298" t="str">
        <f>IF($B298="Risk",COUNTIF($B$2:B298,"Risk"),"")</f>
        <v/>
      </c>
    </row>
    <row r="299" spans="19:19" ht="12.75" customHeight="1" x14ac:dyDescent="0.25">
      <c r="S299" t="str">
        <f>IF($B299="Risk",COUNTIF($B$2:B299,"Risk"),"")</f>
        <v/>
      </c>
    </row>
    <row r="300" spans="19:19" ht="12.75" customHeight="1" x14ac:dyDescent="0.25">
      <c r="S300" t="str">
        <f>IF($B300="Risk",COUNTIF($B$2:B300,"Risk"),"")</f>
        <v/>
      </c>
    </row>
    <row r="301" spans="19:19" ht="12.75" customHeight="1" x14ac:dyDescent="0.25">
      <c r="S301" t="str">
        <f>IF($B301="Risk",COUNTIF($B$2:B301,"Risk"),"")</f>
        <v/>
      </c>
    </row>
    <row r="302" spans="19:19" ht="12.75" customHeight="1" x14ac:dyDescent="0.25">
      <c r="S302" t="str">
        <f>IF($B302="Risk",COUNTIF($B$2:B302,"Risk"),"")</f>
        <v/>
      </c>
    </row>
    <row r="303" spans="19:19" ht="12.75" customHeight="1" x14ac:dyDescent="0.25">
      <c r="S303" t="str">
        <f>IF($B303="Risk",COUNTIF($B$2:B303,"Risk"),"")</f>
        <v/>
      </c>
    </row>
    <row r="304" spans="19:19" ht="12.75" customHeight="1" x14ac:dyDescent="0.25">
      <c r="S304" t="str">
        <f>IF($B304="Risk",COUNTIF($B$2:B304,"Risk"),"")</f>
        <v/>
      </c>
    </row>
    <row r="305" spans="19:19" ht="12.75" customHeight="1" x14ac:dyDescent="0.25">
      <c r="S305" t="str">
        <f>IF($B305="Risk",COUNTIF($B$2:B305,"Risk"),"")</f>
        <v/>
      </c>
    </row>
    <row r="306" spans="19:19" ht="12.75" customHeight="1" x14ac:dyDescent="0.25">
      <c r="S306" t="str">
        <f>IF($B306="Risk",COUNTIF($B$2:B306,"Risk"),"")</f>
        <v/>
      </c>
    </row>
    <row r="307" spans="19:19" ht="12.75" customHeight="1" x14ac:dyDescent="0.25">
      <c r="S307" t="str">
        <f>IF($B307="Risk",COUNTIF($B$2:B307,"Risk"),"")</f>
        <v/>
      </c>
    </row>
    <row r="308" spans="19:19" ht="12.75" customHeight="1" x14ac:dyDescent="0.25">
      <c r="S308" t="str">
        <f>IF($B308="Risk",COUNTIF($B$2:B308,"Risk"),"")</f>
        <v/>
      </c>
    </row>
    <row r="309" spans="19:19" ht="12.75" customHeight="1" x14ac:dyDescent="0.25">
      <c r="S309" t="str">
        <f>IF($B309="Risk",COUNTIF($B$2:B309,"Risk"),"")</f>
        <v/>
      </c>
    </row>
    <row r="310" spans="19:19" ht="12.75" customHeight="1" x14ac:dyDescent="0.25">
      <c r="S310" t="str">
        <f>IF($B310="Risk",COUNTIF($B$2:B310,"Risk"),"")</f>
        <v/>
      </c>
    </row>
    <row r="311" spans="19:19" ht="12.75" customHeight="1" x14ac:dyDescent="0.25">
      <c r="S311" t="str">
        <f>IF($B311="Risk",COUNTIF($B$2:B311,"Risk"),"")</f>
        <v/>
      </c>
    </row>
    <row r="312" spans="19:19" ht="12.75" customHeight="1" x14ac:dyDescent="0.25">
      <c r="S312" t="str">
        <f>IF($B312="Risk",COUNTIF($B$2:B312,"Risk"),"")</f>
        <v/>
      </c>
    </row>
    <row r="313" spans="19:19" ht="12.75" customHeight="1" x14ac:dyDescent="0.25">
      <c r="S313" t="str">
        <f>IF($B313="Risk",COUNTIF($B$2:B313,"Risk"),"")</f>
        <v/>
      </c>
    </row>
    <row r="314" spans="19:19" ht="12.75" customHeight="1" x14ac:dyDescent="0.25">
      <c r="S314" t="str">
        <f>IF($B314="Risk",COUNTIF($B$2:B314,"Risk"),"")</f>
        <v/>
      </c>
    </row>
    <row r="315" spans="19:19" ht="12.75" customHeight="1" x14ac:dyDescent="0.25">
      <c r="S315" t="str">
        <f>IF($B315="Risk",COUNTIF($B$2:B315,"Risk"),"")</f>
        <v/>
      </c>
    </row>
    <row r="316" spans="19:19" ht="12.75" customHeight="1" x14ac:dyDescent="0.25">
      <c r="S316" t="str">
        <f>IF($B316="Risk",COUNTIF($B$2:B316,"Risk"),"")</f>
        <v/>
      </c>
    </row>
    <row r="317" spans="19:19" ht="12.75" customHeight="1" x14ac:dyDescent="0.25">
      <c r="S317" t="str">
        <f>IF($B317="Risk",COUNTIF($B$2:B317,"Risk"),"")</f>
        <v/>
      </c>
    </row>
    <row r="318" spans="19:19" ht="12.75" customHeight="1" x14ac:dyDescent="0.25">
      <c r="S318" t="str">
        <f>IF($B318="Risk",COUNTIF($B$2:B318,"Risk"),"")</f>
        <v/>
      </c>
    </row>
    <row r="319" spans="19:19" ht="12.75" customHeight="1" x14ac:dyDescent="0.25">
      <c r="S319" t="str">
        <f>IF($B319="Risk",COUNTIF($B$2:B319,"Risk"),"")</f>
        <v/>
      </c>
    </row>
    <row r="320" spans="19:19" ht="12.75" customHeight="1" x14ac:dyDescent="0.25">
      <c r="S320" t="str">
        <f>IF($B320="Risk",COUNTIF($B$2:B320,"Risk"),"")</f>
        <v/>
      </c>
    </row>
    <row r="321" spans="19:19" ht="12.75" customHeight="1" x14ac:dyDescent="0.25">
      <c r="S321" t="str">
        <f>IF($B321="Risk",COUNTIF($B$2:B321,"Risk"),"")</f>
        <v/>
      </c>
    </row>
    <row r="322" spans="19:19" ht="12.75" customHeight="1" x14ac:dyDescent="0.25">
      <c r="S322" t="str">
        <f>IF($B322="Risk",COUNTIF($B$2:B322,"Risk"),"")</f>
        <v/>
      </c>
    </row>
    <row r="323" spans="19:19" ht="12.75" customHeight="1" x14ac:dyDescent="0.25">
      <c r="S323" t="str">
        <f>IF($B323="Risk",COUNTIF($B$2:B323,"Risk"),"")</f>
        <v/>
      </c>
    </row>
    <row r="324" spans="19:19" ht="12.75" customHeight="1" x14ac:dyDescent="0.25">
      <c r="S324" t="str">
        <f>IF($B324="Risk",COUNTIF($B$2:B324,"Risk"),"")</f>
        <v/>
      </c>
    </row>
    <row r="325" spans="19:19" ht="12.75" customHeight="1" x14ac:dyDescent="0.25">
      <c r="S325" t="str">
        <f>IF($B325="Risk",COUNTIF($B$2:B325,"Risk"),"")</f>
        <v/>
      </c>
    </row>
    <row r="326" spans="19:19" ht="12.75" customHeight="1" x14ac:dyDescent="0.25">
      <c r="S326" t="str">
        <f>IF($B326="Risk",COUNTIF($B$2:B326,"Risk"),"")</f>
        <v/>
      </c>
    </row>
    <row r="327" spans="19:19" ht="12.75" customHeight="1" x14ac:dyDescent="0.25">
      <c r="S327" t="str">
        <f>IF($B327="Risk",COUNTIF($B$2:B327,"Risk"),"")</f>
        <v/>
      </c>
    </row>
    <row r="328" spans="19:19" ht="12.75" customHeight="1" x14ac:dyDescent="0.25">
      <c r="S328" t="str">
        <f>IF($B328="Risk",COUNTIF($B$2:B328,"Risk"),"")</f>
        <v/>
      </c>
    </row>
    <row r="329" spans="19:19" ht="12.75" customHeight="1" x14ac:dyDescent="0.25">
      <c r="S329" t="str">
        <f>IF($B329="Risk",COUNTIF($B$2:B329,"Risk"),"")</f>
        <v/>
      </c>
    </row>
    <row r="330" spans="19:19" ht="12.75" customHeight="1" x14ac:dyDescent="0.25">
      <c r="S330" t="str">
        <f>IF($B330="Risk",COUNTIF($B$2:B330,"Risk"),"")</f>
        <v/>
      </c>
    </row>
    <row r="331" spans="19:19" ht="12.75" customHeight="1" x14ac:dyDescent="0.25">
      <c r="S331" t="str">
        <f>IF($B331="Risk",COUNTIF($B$2:B331,"Risk"),"")</f>
        <v/>
      </c>
    </row>
    <row r="332" spans="19:19" ht="12.75" customHeight="1" x14ac:dyDescent="0.25">
      <c r="S332" t="str">
        <f>IF($B332="Risk",COUNTIF($B$2:B332,"Risk"),"")</f>
        <v/>
      </c>
    </row>
    <row r="333" spans="19:19" ht="12.75" customHeight="1" x14ac:dyDescent="0.25">
      <c r="S333" t="str">
        <f>IF($B333="Risk",COUNTIF($B$2:B333,"Risk"),"")</f>
        <v/>
      </c>
    </row>
    <row r="334" spans="19:19" ht="12.75" customHeight="1" x14ac:dyDescent="0.25">
      <c r="S334" t="str">
        <f>IF($B334="Risk",COUNTIF($B$2:B334,"Risk"),"")</f>
        <v/>
      </c>
    </row>
    <row r="335" spans="19:19" ht="12.75" customHeight="1" x14ac:dyDescent="0.25">
      <c r="S335" t="str">
        <f>IF($B335="Risk",COUNTIF($B$2:B335,"Risk"),"")</f>
        <v/>
      </c>
    </row>
    <row r="336" spans="19:19" ht="12.75" customHeight="1" x14ac:dyDescent="0.25">
      <c r="S336" t="str">
        <f>IF($B336="Risk",COUNTIF($B$2:B336,"Risk"),"")</f>
        <v/>
      </c>
    </row>
    <row r="337" spans="19:19" ht="12.75" customHeight="1" x14ac:dyDescent="0.25">
      <c r="S337" t="str">
        <f>IF($B337="Risk",COUNTIF($B$2:B337,"Risk"),"")</f>
        <v/>
      </c>
    </row>
    <row r="338" spans="19:19" ht="12.75" customHeight="1" x14ac:dyDescent="0.25">
      <c r="S338" t="str">
        <f>IF($B338="Risk",COUNTIF($B$2:B338,"Risk"),"")</f>
        <v/>
      </c>
    </row>
    <row r="339" spans="19:19" ht="12.75" customHeight="1" x14ac:dyDescent="0.25">
      <c r="S339" t="str">
        <f>IF($B339="Risk",COUNTIF($B$2:B339,"Risk"),"")</f>
        <v/>
      </c>
    </row>
    <row r="340" spans="19:19" ht="12.75" customHeight="1" x14ac:dyDescent="0.25">
      <c r="S340" t="str">
        <f>IF($B340="Risk",COUNTIF($B$2:B340,"Risk"),"")</f>
        <v/>
      </c>
    </row>
    <row r="341" spans="19:19" ht="12.75" customHeight="1" x14ac:dyDescent="0.25">
      <c r="S341" t="str">
        <f>IF($B341="Risk",COUNTIF($B$2:B341,"Risk"),"")</f>
        <v/>
      </c>
    </row>
    <row r="342" spans="19:19" ht="12.75" customHeight="1" x14ac:dyDescent="0.25">
      <c r="S342" t="str">
        <f>IF($B342="Risk",COUNTIF($B$2:B342,"Risk"),"")</f>
        <v/>
      </c>
    </row>
    <row r="343" spans="19:19" ht="12.75" customHeight="1" x14ac:dyDescent="0.25">
      <c r="S343" t="str">
        <f>IF($B343="Risk",COUNTIF($B$2:B343,"Risk"),"")</f>
        <v/>
      </c>
    </row>
    <row r="344" spans="19:19" ht="12.75" customHeight="1" x14ac:dyDescent="0.25">
      <c r="S344" t="str">
        <f>IF($B344="Risk",COUNTIF($B$2:B344,"Risk"),"")</f>
        <v/>
      </c>
    </row>
    <row r="345" spans="19:19" ht="12.75" customHeight="1" x14ac:dyDescent="0.25">
      <c r="S345" t="str">
        <f>IF($B345="Risk",COUNTIF($B$2:B345,"Risk"),"")</f>
        <v/>
      </c>
    </row>
    <row r="346" spans="19:19" ht="12.75" customHeight="1" x14ac:dyDescent="0.25">
      <c r="S346" t="str">
        <f>IF($B346="Risk",COUNTIF($B$2:B346,"Risk"),"")</f>
        <v/>
      </c>
    </row>
    <row r="347" spans="19:19" ht="12.75" customHeight="1" x14ac:dyDescent="0.25">
      <c r="S347" t="str">
        <f>IF($B347="Risk",COUNTIF($B$2:B347,"Risk"),"")</f>
        <v/>
      </c>
    </row>
    <row r="348" spans="19:19" ht="12.75" customHeight="1" x14ac:dyDescent="0.25">
      <c r="S348" t="str">
        <f>IF($B348="Risk",COUNTIF($B$2:B348,"Risk"),"")</f>
        <v/>
      </c>
    </row>
    <row r="349" spans="19:19" ht="12.75" customHeight="1" x14ac:dyDescent="0.25">
      <c r="S349" t="str">
        <f>IF($B349="Risk",COUNTIF($B$2:B349,"Risk"),"")</f>
        <v/>
      </c>
    </row>
    <row r="350" spans="19:19" ht="12.75" customHeight="1" x14ac:dyDescent="0.25">
      <c r="S350" t="str">
        <f>IF($B350="Risk",COUNTIF($B$2:B350,"Risk"),"")</f>
        <v/>
      </c>
    </row>
    <row r="351" spans="19:19" ht="12.75" customHeight="1" x14ac:dyDescent="0.25">
      <c r="S351" t="str">
        <f>IF($B351="Risk",COUNTIF($B$2:B351,"Risk"),"")</f>
        <v/>
      </c>
    </row>
    <row r="352" spans="19:19" ht="12.75" customHeight="1" x14ac:dyDescent="0.25">
      <c r="S352" t="str">
        <f>IF($B352="Risk",COUNTIF($B$2:B352,"Risk"),"")</f>
        <v/>
      </c>
    </row>
    <row r="353" spans="19:19" ht="12.75" customHeight="1" x14ac:dyDescent="0.25">
      <c r="S353" t="str">
        <f>IF($B353="Risk",COUNTIF($B$2:B353,"Risk"),"")</f>
        <v/>
      </c>
    </row>
    <row r="354" spans="19:19" ht="12.75" customHeight="1" x14ac:dyDescent="0.25">
      <c r="S354" t="str">
        <f>IF($B354="Risk",COUNTIF($B$2:B354,"Risk"),"")</f>
        <v/>
      </c>
    </row>
    <row r="355" spans="19:19" ht="12.75" customHeight="1" x14ac:dyDescent="0.25">
      <c r="S355" t="str">
        <f>IF($B355="Risk",COUNTIF($B$2:B355,"Risk"),"")</f>
        <v/>
      </c>
    </row>
    <row r="356" spans="19:19" ht="12.75" customHeight="1" x14ac:dyDescent="0.25">
      <c r="S356" t="str">
        <f>IF($B356="Risk",COUNTIF($B$2:B356,"Risk"),"")</f>
        <v/>
      </c>
    </row>
    <row r="357" spans="19:19" ht="12.75" customHeight="1" x14ac:dyDescent="0.25">
      <c r="S357" t="str">
        <f>IF($B357="Risk",COUNTIF($B$2:B357,"Risk"),"")</f>
        <v/>
      </c>
    </row>
    <row r="358" spans="19:19" ht="12.75" customHeight="1" x14ac:dyDescent="0.25">
      <c r="S358" t="str">
        <f>IF($B358="Risk",COUNTIF($B$2:B358,"Risk"),"")</f>
        <v/>
      </c>
    </row>
    <row r="359" spans="19:19" ht="12.75" customHeight="1" x14ac:dyDescent="0.25">
      <c r="S359" t="str">
        <f>IF($B359="Risk",COUNTIF($B$2:B359,"Risk"),"")</f>
        <v/>
      </c>
    </row>
    <row r="360" spans="19:19" ht="12.75" customHeight="1" x14ac:dyDescent="0.25">
      <c r="S360" t="str">
        <f>IF($B360="Risk",COUNTIF($B$2:B360,"Risk"),"")</f>
        <v/>
      </c>
    </row>
    <row r="361" spans="19:19" ht="12.75" customHeight="1" x14ac:dyDescent="0.25">
      <c r="S361" t="str">
        <f>IF($B361="Risk",COUNTIF($B$2:B361,"Risk"),"")</f>
        <v/>
      </c>
    </row>
    <row r="362" spans="19:19" ht="12.75" customHeight="1" x14ac:dyDescent="0.25">
      <c r="S362" t="str">
        <f>IF($B362="Risk",COUNTIF($B$2:B362,"Risk"),"")</f>
        <v/>
      </c>
    </row>
    <row r="363" spans="19:19" ht="12.75" customHeight="1" x14ac:dyDescent="0.25">
      <c r="S363" t="str">
        <f>IF($B363="Risk",COUNTIF($B$2:B363,"Risk"),"")</f>
        <v/>
      </c>
    </row>
    <row r="364" spans="19:19" ht="12.75" customHeight="1" x14ac:dyDescent="0.25">
      <c r="S364" t="str">
        <f>IF($B364="Risk",COUNTIF($B$2:B364,"Risk"),"")</f>
        <v/>
      </c>
    </row>
    <row r="365" spans="19:19" ht="12.75" customHeight="1" x14ac:dyDescent="0.25">
      <c r="S365" t="str">
        <f>IF($B365="Risk",COUNTIF($B$2:B365,"Risk"),"")</f>
        <v/>
      </c>
    </row>
    <row r="366" spans="19:19" ht="12.75" customHeight="1" x14ac:dyDescent="0.25">
      <c r="S366" t="str">
        <f>IF($B366="Risk",COUNTIF($B$2:B366,"Risk"),"")</f>
        <v/>
      </c>
    </row>
    <row r="367" spans="19:19" ht="12.75" customHeight="1" x14ac:dyDescent="0.25">
      <c r="S367" t="str">
        <f>IF($B367="Risk",COUNTIF($B$2:B367,"Risk"),"")</f>
        <v/>
      </c>
    </row>
    <row r="368" spans="19:19" ht="12.75" customHeight="1" x14ac:dyDescent="0.25">
      <c r="S368" t="str">
        <f>IF($B368="Risk",COUNTIF($B$2:B368,"Risk"),"")</f>
        <v/>
      </c>
    </row>
    <row r="369" spans="19:19" ht="12.75" customHeight="1" x14ac:dyDescent="0.25">
      <c r="S369" t="str">
        <f>IF($B369="Risk",COUNTIF($B$2:B369,"Risk"),"")</f>
        <v/>
      </c>
    </row>
    <row r="370" spans="19:19" ht="12.75" customHeight="1" x14ac:dyDescent="0.25">
      <c r="S370" t="str">
        <f>IF($B370="Risk",COUNTIF($B$2:B370,"Risk"),"")</f>
        <v/>
      </c>
    </row>
    <row r="371" spans="19:19" ht="12.75" customHeight="1" x14ac:dyDescent="0.25">
      <c r="S371" t="str">
        <f>IF($B371="Risk",COUNTIF($B$2:B371,"Risk"),"")</f>
        <v/>
      </c>
    </row>
    <row r="372" spans="19:19" ht="12.75" customHeight="1" x14ac:dyDescent="0.25">
      <c r="S372" t="str">
        <f>IF($B372="Risk",COUNTIF($B$2:B372,"Risk"),"")</f>
        <v/>
      </c>
    </row>
    <row r="373" spans="19:19" ht="12.75" customHeight="1" x14ac:dyDescent="0.25">
      <c r="S373" t="str">
        <f>IF($B373="Risk",COUNTIF($B$2:B373,"Risk"),"")</f>
        <v/>
      </c>
    </row>
    <row r="374" spans="19:19" ht="12.75" customHeight="1" x14ac:dyDescent="0.25">
      <c r="S374" t="str">
        <f>IF($B374="Risk",COUNTIF($B$2:B374,"Risk"),"")</f>
        <v/>
      </c>
    </row>
    <row r="375" spans="19:19" ht="12.75" customHeight="1" x14ac:dyDescent="0.25">
      <c r="S375" t="str">
        <f>IF($B375="Risk",COUNTIF($B$2:B375,"Risk"),"")</f>
        <v/>
      </c>
    </row>
    <row r="376" spans="19:19" ht="12.75" customHeight="1" x14ac:dyDescent="0.25">
      <c r="S376" t="str">
        <f>IF($B376="Risk",COUNTIF($B$2:B376,"Risk"),"")</f>
        <v/>
      </c>
    </row>
    <row r="377" spans="19:19" ht="12.75" customHeight="1" x14ac:dyDescent="0.25">
      <c r="S377" t="str">
        <f>IF($B377="Risk",COUNTIF($B$2:B377,"Risk"),"")</f>
        <v/>
      </c>
    </row>
    <row r="378" spans="19:19" ht="12.75" customHeight="1" x14ac:dyDescent="0.25">
      <c r="S378" t="str">
        <f>IF($B378="Risk",COUNTIF($B$2:B378,"Risk"),"")</f>
        <v/>
      </c>
    </row>
    <row r="379" spans="19:19" ht="12.75" customHeight="1" x14ac:dyDescent="0.25">
      <c r="S379" t="str">
        <f>IF($B379="Risk",COUNTIF($B$2:B379,"Risk"),"")</f>
        <v/>
      </c>
    </row>
    <row r="380" spans="19:19" ht="12.75" customHeight="1" x14ac:dyDescent="0.25">
      <c r="S380" t="str">
        <f>IF($B380="Risk",COUNTIF($B$2:B380,"Risk"),"")</f>
        <v/>
      </c>
    </row>
    <row r="381" spans="19:19" ht="12.75" customHeight="1" x14ac:dyDescent="0.25">
      <c r="S381" t="str">
        <f>IF($B381="Risk",COUNTIF($B$2:B381,"Risk"),"")</f>
        <v/>
      </c>
    </row>
    <row r="382" spans="19:19" ht="12.75" customHeight="1" x14ac:dyDescent="0.25">
      <c r="S382" t="str">
        <f>IF($B382="Risk",COUNTIF($B$2:B382,"Risk"),"")</f>
        <v/>
      </c>
    </row>
    <row r="383" spans="19:19" ht="12.75" customHeight="1" x14ac:dyDescent="0.25">
      <c r="S383" t="str">
        <f>IF($B383="Risk",COUNTIF($B$2:B383,"Risk"),"")</f>
        <v/>
      </c>
    </row>
    <row r="384" spans="19:19" ht="12.75" customHeight="1" x14ac:dyDescent="0.25">
      <c r="S384" t="str">
        <f>IF($B384="Risk",COUNTIF($B$2:B384,"Risk"),"")</f>
        <v/>
      </c>
    </row>
    <row r="385" spans="19:19" ht="12.75" customHeight="1" x14ac:dyDescent="0.25">
      <c r="S385" t="str">
        <f>IF($B385="Risk",COUNTIF($B$2:B385,"Risk"),"")</f>
        <v/>
      </c>
    </row>
    <row r="386" spans="19:19" ht="12.75" customHeight="1" x14ac:dyDescent="0.25">
      <c r="S386" t="str">
        <f>IF($B386="Risk",COUNTIF($B$2:B386,"Risk"),"")</f>
        <v/>
      </c>
    </row>
    <row r="387" spans="19:19" ht="12.75" customHeight="1" x14ac:dyDescent="0.25">
      <c r="S387" t="str">
        <f>IF($B387="Risk",COUNTIF($B$2:B387,"Risk"),"")</f>
        <v/>
      </c>
    </row>
    <row r="388" spans="19:19" ht="12.75" customHeight="1" x14ac:dyDescent="0.25">
      <c r="S388" t="str">
        <f>IF($B388="Risk",COUNTIF($B$2:B388,"Risk"),"")</f>
        <v/>
      </c>
    </row>
    <row r="389" spans="19:19" ht="12.75" customHeight="1" x14ac:dyDescent="0.25">
      <c r="S389" t="str">
        <f>IF($B389="Risk",COUNTIF($B$2:B389,"Risk"),"")</f>
        <v/>
      </c>
    </row>
    <row r="390" spans="19:19" ht="12.75" customHeight="1" x14ac:dyDescent="0.25">
      <c r="S390" t="str">
        <f>IF($B390="Risk",COUNTIF($B$2:B390,"Risk"),"")</f>
        <v/>
      </c>
    </row>
    <row r="391" spans="19:19" ht="12.75" customHeight="1" x14ac:dyDescent="0.25">
      <c r="S391" t="str">
        <f>IF($B391="Risk",COUNTIF($B$2:B391,"Risk"),"")</f>
        <v/>
      </c>
    </row>
    <row r="392" spans="19:19" ht="12.75" customHeight="1" x14ac:dyDescent="0.25">
      <c r="S392" t="str">
        <f>IF($B392="Risk",COUNTIF($B$2:B392,"Risk"),"")</f>
        <v/>
      </c>
    </row>
    <row r="393" spans="19:19" ht="12.75" customHeight="1" x14ac:dyDescent="0.25">
      <c r="S393" t="str">
        <f>IF($B393="Risk",COUNTIF($B$2:B393,"Risk"),"")</f>
        <v/>
      </c>
    </row>
    <row r="394" spans="19:19" ht="12.75" customHeight="1" x14ac:dyDescent="0.25">
      <c r="S394" t="str">
        <f>IF($B394="Risk",COUNTIF($B$2:B394,"Risk"),"")</f>
        <v/>
      </c>
    </row>
    <row r="395" spans="19:19" ht="12.75" customHeight="1" x14ac:dyDescent="0.25">
      <c r="S395" t="str">
        <f>IF($B395="Risk",COUNTIF($B$2:B395,"Risk"),"")</f>
        <v/>
      </c>
    </row>
    <row r="396" spans="19:19" ht="12.75" customHeight="1" x14ac:dyDescent="0.25">
      <c r="S396" t="str">
        <f>IF($B396="Risk",COUNTIF($B$2:B396,"Risk"),"")</f>
        <v/>
      </c>
    </row>
    <row r="397" spans="19:19" ht="12.75" customHeight="1" x14ac:dyDescent="0.25">
      <c r="S397" t="str">
        <f>IF($B397="Risk",COUNTIF($B$2:B397,"Risk"),"")</f>
        <v/>
      </c>
    </row>
    <row r="398" spans="19:19" ht="12.75" customHeight="1" x14ac:dyDescent="0.25">
      <c r="S398" t="str">
        <f>IF($B398="Risk",COUNTIF($B$2:B398,"Risk"),"")</f>
        <v/>
      </c>
    </row>
    <row r="399" spans="19:19" ht="12.75" customHeight="1" x14ac:dyDescent="0.25">
      <c r="S399" t="str">
        <f>IF($B399="Risk",COUNTIF($B$2:B399,"Risk"),"")</f>
        <v/>
      </c>
    </row>
    <row r="400" spans="19:19" ht="12.75" customHeight="1" x14ac:dyDescent="0.25">
      <c r="S400" t="str">
        <f>IF($B400="Risk",COUNTIF($B$2:B400,"Risk"),"")</f>
        <v/>
      </c>
    </row>
    <row r="401" spans="19:19" ht="12.75" customHeight="1" x14ac:dyDescent="0.25">
      <c r="S401" t="str">
        <f>IF($B401="Risk",COUNTIF($B$2:B401,"Risk"),"")</f>
        <v/>
      </c>
    </row>
    <row r="402" spans="19:19" ht="12.75" customHeight="1" x14ac:dyDescent="0.25">
      <c r="S402" t="str">
        <f>IF($B402="Risk",COUNTIF($B$2:B402,"Risk"),"")</f>
        <v/>
      </c>
    </row>
    <row r="403" spans="19:19" ht="12.75" customHeight="1" x14ac:dyDescent="0.25">
      <c r="S403" t="str">
        <f>IF($B403="Risk",COUNTIF($B$2:B403,"Risk"),"")</f>
        <v/>
      </c>
    </row>
    <row r="404" spans="19:19" ht="12.75" customHeight="1" x14ac:dyDescent="0.25">
      <c r="S404" t="str">
        <f>IF($B404="Risk",COUNTIF($B$2:B404,"Risk"),"")</f>
        <v/>
      </c>
    </row>
    <row r="405" spans="19:19" ht="12.75" customHeight="1" x14ac:dyDescent="0.25">
      <c r="S405" t="str">
        <f>IF($B405="Risk",COUNTIF($B$2:B405,"Risk"),"")</f>
        <v/>
      </c>
    </row>
    <row r="406" spans="19:19" ht="12.75" customHeight="1" x14ac:dyDescent="0.25">
      <c r="S406" t="str">
        <f>IF($B406="Risk",COUNTIF($B$2:B406,"Risk"),"")</f>
        <v/>
      </c>
    </row>
    <row r="407" spans="19:19" ht="12.75" customHeight="1" x14ac:dyDescent="0.25">
      <c r="S407" t="str">
        <f>IF($B407="Risk",COUNTIF($B$2:B407,"Risk"),"")</f>
        <v/>
      </c>
    </row>
    <row r="408" spans="19:19" ht="12.75" customHeight="1" x14ac:dyDescent="0.25">
      <c r="S408" t="str">
        <f>IF($B408="Risk",COUNTIF($B$2:B408,"Risk"),"")</f>
        <v/>
      </c>
    </row>
    <row r="409" spans="19:19" ht="12.75" customHeight="1" x14ac:dyDescent="0.25">
      <c r="S409" t="str">
        <f>IF($B409="Risk",COUNTIF($B$2:B409,"Risk"),"")</f>
        <v/>
      </c>
    </row>
    <row r="410" spans="19:19" ht="12.75" customHeight="1" x14ac:dyDescent="0.25">
      <c r="S410" t="str">
        <f>IF($B410="Risk",COUNTIF($B$2:B410,"Risk"),"")</f>
        <v/>
      </c>
    </row>
    <row r="411" spans="19:19" ht="12.75" customHeight="1" x14ac:dyDescent="0.25">
      <c r="S411" t="str">
        <f>IF($B411="Risk",COUNTIF($B$2:B411,"Risk"),"")</f>
        <v/>
      </c>
    </row>
    <row r="412" spans="19:19" ht="12.75" customHeight="1" x14ac:dyDescent="0.25">
      <c r="S412" t="str">
        <f>IF($B412="Risk",COUNTIF($B$2:B412,"Risk"),"")</f>
        <v/>
      </c>
    </row>
    <row r="413" spans="19:19" ht="12.75" customHeight="1" x14ac:dyDescent="0.25">
      <c r="S413" t="str">
        <f>IF($B413="Risk",COUNTIF($B$2:B413,"Risk"),"")</f>
        <v/>
      </c>
    </row>
    <row r="414" spans="19:19" ht="12.75" customHeight="1" x14ac:dyDescent="0.25">
      <c r="S414" t="str">
        <f>IF($B414="Risk",COUNTIF($B$2:B414,"Risk"),"")</f>
        <v/>
      </c>
    </row>
    <row r="415" spans="19:19" ht="12.75" customHeight="1" x14ac:dyDescent="0.25">
      <c r="S415" t="str">
        <f>IF($B415="Risk",COUNTIF($B$2:B415,"Risk"),"")</f>
        <v/>
      </c>
    </row>
  </sheetData>
  <dataValidations count="9">
    <dataValidation type="list" operator="equal" allowBlank="1" showInputMessage="1" showErrorMessage="1" sqref="B2:B25" xr:uid="{00000000-0002-0000-0600-000000000000}">
      <formula1>"Risk,Assumption,Issue,Dependency"</formula1>
      <formula2>0</formula2>
    </dataValidation>
    <dataValidation type="list" operator="equal" allowBlank="1" showInputMessage="1" showErrorMessage="1" sqref="C2:C12 C15:C25" xr:uid="{00000000-0002-0000-0600-000001000000}">
      <formula1>"Technical,Scope,Schedule,Cost,Quality,Resource,Vendor,Stakeholder,Process,Security/Compliance"</formula1>
      <formula2>0</formula2>
    </dataValidation>
    <dataValidation type="list" operator="equal" allowBlank="1" showInputMessage="1" showErrorMessage="1" sqref="D2:D12 D15:D25" xr:uid="{00000000-0002-0000-0600-000002000000}">
      <formula1>"Scope,Schedule,Cost,Quality,Security/Compliance,Other"</formula1>
      <formula2>0</formula2>
    </dataValidation>
    <dataValidation type="date" allowBlank="1" showInputMessage="1" showErrorMessage="1" sqref="H2 H20:H21" xr:uid="{00000000-0002-0000-0600-000003000000}">
      <formula1>36526</formula1>
      <formula2>54789</formula2>
    </dataValidation>
    <dataValidation type="list" operator="equal" allowBlank="1" showInputMessage="1" showErrorMessage="1" sqref="J2:J101 K2:K18" xr:uid="{9FCD460E-DD87-4AAE-B2D2-ADC6D7D39442}">
      <formula1>"Severe,Major,Moderate,Minor,Insignificant"</formula1>
    </dataValidation>
    <dataValidation type="list" operator="equal" allowBlank="1" showInputMessage="1" showErrorMessage="1" sqref="K19:K101" xr:uid="{0CE16C90-F340-4A64-8ABC-6D167D00EC66}">
      <formula1>"Very High,High,Average,Low,Very Low"</formula1>
    </dataValidation>
    <dataValidation type="list" operator="equal" allowBlank="1" showInputMessage="1" showErrorMessage="1" sqref="L2:L101" xr:uid="{11C17541-D0E6-4736-8C7D-AB496FDC28E5}">
      <formula1>"Critical,High,Medium,Low"</formula1>
    </dataValidation>
    <dataValidation type="list" allowBlank="1" showInputMessage="1" showErrorMessage="1" sqref="N2:N101" xr:uid="{B3E93F2D-78D6-42C4-8E9F-7BDFEBB5C379}">
      <formula1>"Not Started,In-Progress,Behind,Closed"</formula1>
    </dataValidation>
    <dataValidation type="list" operator="equal" allowBlank="1" showInputMessage="1" showErrorMessage="1" sqref="O2:O101" xr:uid="{957A0468-6388-4ADC-AFAF-AA162101515E}">
      <formula1>"Avoid,Mitigate,Transfer,Accept,Escalate"</formula1>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N53"/>
  <sheetViews>
    <sheetView zoomScaleNormal="100" zoomScalePageLayoutView="60" workbookViewId="0">
      <selection activeCell="I2" sqref="I2"/>
    </sheetView>
  </sheetViews>
  <sheetFormatPr defaultColWidth="8.7265625" defaultRowHeight="14.25" customHeight="1" x14ac:dyDescent="0.35"/>
  <cols>
    <col min="1" max="1" width="7.54296875" style="17" customWidth="1"/>
    <col min="2" max="2" width="13.26953125" hidden="1" customWidth="1"/>
    <col min="3" max="4" width="32.453125" style="18" customWidth="1"/>
    <col min="5" max="5" width="22.7265625" style="18" customWidth="1"/>
    <col min="6" max="6" width="17.26953125" customWidth="1"/>
    <col min="7" max="7" width="14.81640625" customWidth="1"/>
    <col min="8" max="9" width="12.26953125" customWidth="1"/>
    <col min="10" max="10" width="14.26953125" customWidth="1"/>
    <col min="11" max="11" width="13.453125" customWidth="1"/>
    <col min="12" max="12" width="14.26953125" customWidth="1"/>
    <col min="13" max="13" width="14.26953125" style="19" customWidth="1"/>
    <col min="14" max="15" width="14.7265625" style="19" customWidth="1"/>
    <col min="16" max="16" width="20.453125" style="19" customWidth="1"/>
    <col min="17" max="17" width="65.54296875" customWidth="1"/>
    <col min="19" max="19" width="18.1796875" customWidth="1"/>
    <col min="20" max="20" width="13.453125" customWidth="1"/>
    <col min="21" max="21" width="15.453125" customWidth="1"/>
    <col min="22" max="22" width="4.1796875" customWidth="1"/>
    <col min="23" max="23" width="10.81640625" customWidth="1"/>
    <col min="24" max="24" width="12.54296875" customWidth="1"/>
    <col min="25" max="28" width="11.1796875" customWidth="1"/>
    <col min="29" max="29" width="12.1796875" customWidth="1"/>
    <col min="31" max="31" width="15" customWidth="1"/>
    <col min="32" max="35" width="12.7265625" customWidth="1"/>
    <col min="36" max="36" width="12.7265625" hidden="1" customWidth="1"/>
    <col min="37" max="37" width="12.7265625" customWidth="1"/>
    <col min="38" max="39" width="11.81640625" customWidth="1"/>
    <col min="40" max="41" width="13" customWidth="1"/>
    <col min="42" max="42" width="10.81640625" customWidth="1"/>
    <col min="43" max="43" width="7" customWidth="1"/>
    <col min="44" max="44" width="12.1796875" customWidth="1"/>
    <col min="45" max="45" width="2.81640625" customWidth="1"/>
    <col min="46" max="46" width="10.453125" customWidth="1"/>
    <col min="47" max="47" width="12.7265625" customWidth="1"/>
    <col min="48" max="48" width="9.1796875" customWidth="1"/>
    <col min="49" max="49" width="12.453125" customWidth="1"/>
    <col min="50" max="50" width="13.81640625" customWidth="1"/>
    <col min="51" max="64" width="9.1796875" customWidth="1"/>
  </cols>
  <sheetData>
    <row r="1" spans="1:40" ht="29.25" customHeight="1" thickBot="1" x14ac:dyDescent="0.3">
      <c r="A1" s="20" t="s">
        <v>56</v>
      </c>
      <c r="B1" s="21" t="s">
        <v>168</v>
      </c>
      <c r="C1" s="22" t="s">
        <v>169</v>
      </c>
      <c r="D1" s="22" t="s">
        <v>170</v>
      </c>
      <c r="E1" s="23" t="s">
        <v>133</v>
      </c>
      <c r="F1" s="22" t="s">
        <v>171</v>
      </c>
      <c r="G1" s="22" t="s">
        <v>139</v>
      </c>
      <c r="H1" s="22" t="s">
        <v>172</v>
      </c>
      <c r="I1" s="22" t="s">
        <v>173</v>
      </c>
      <c r="J1" s="23" t="s">
        <v>174</v>
      </c>
      <c r="K1" s="24" t="s">
        <v>175</v>
      </c>
      <c r="L1" s="23" t="s">
        <v>81</v>
      </c>
      <c r="M1" s="25" t="s">
        <v>176</v>
      </c>
      <c r="N1" s="25" t="s">
        <v>137</v>
      </c>
      <c r="O1" s="25" t="s">
        <v>145</v>
      </c>
      <c r="P1" s="26" t="s">
        <v>143</v>
      </c>
      <c r="Q1" s="27" t="s">
        <v>177</v>
      </c>
      <c r="S1" s="2"/>
      <c r="U1" s="2"/>
    </row>
    <row r="2" spans="1:40" ht="27" customHeight="1" thickBot="1" x14ac:dyDescent="0.3">
      <c r="A2" s="28" t="str">
        <f>IF($B2="","",IF(IFERROR(INDEX('RAID Log'!$1:$1048576,$B2,MATCH("RAID ID",'RAID Log'!$1:$1,0)),"")="","",IFERROR(INDEX('RAID Log'!$1:$1048576,$B2,MATCH("RAID ID",'RAID Log'!$1:$1,0)),"")))</f>
        <v/>
      </c>
      <c r="B2" s="29" t="str">
        <f>IFERROR(MATCH(ROW()-1,'RAID Log'!$S:$S,0),"")</f>
        <v/>
      </c>
      <c r="C2" s="30" t="str">
        <f>IF($B2="","",IF(IFERROR(INDEX('RAID Log'!$1:$1048576,$B2,MATCH("Description",'RAID Log'!$1:$1,0)),"")="","",IFERROR(INDEX('RAID Log'!$1:$1048576,$B2,MATCH("Description",'RAID Log'!$1:$1,0)),"")))</f>
        <v/>
      </c>
      <c r="D2" s="30" t="str">
        <f>IF($B2="","",IF(IFERROR(INDEX('RAID Log'!$1:$1048576,$B2,MATCH("Impact/Effect of the RAID",'RAID Log'!$1:$1,0)),"")="","",IFERROR(INDEX('RAID Log'!$1:$1048576,$B2,MATCH("Impact/Effect of the RAID",'RAID Log'!$1:$1,0)),"")))</f>
        <v/>
      </c>
      <c r="E2" s="31" t="str">
        <f>IF($B2="","",IF(IFERROR(INDEX('RAID Log'!$1:$1048576,$B2,MATCH("Impact Area",'RAID Log'!$1:$1,0)),"")="","",IFERROR(INDEX('RAID Log'!$1:$1048576,$B2,MATCH("Impact Area",'RAID Log'!$1:$1,0)),"")))</f>
        <v/>
      </c>
      <c r="F2" s="31" t="str">
        <f>IF($B2="","",IF(IFERROR(INDEX('RAID Log'!$1:$1048576,$B2,MATCH("Impact Area",'RAID Log'!$1:$1,0)),"")="","",IFERROR(INDEX('RAID Log'!$1:$1048576,$B2,MATCH("Impact Area",'RAID Log'!$1:$1,0)),"")))</f>
        <v/>
      </c>
      <c r="G2" s="31" t="str">
        <f>IF($B2="","",IF(IFERROR(INDEX('RAID Log'!$1:$1048576,$B2,MATCH("Impact Rating",'RAID Log'!$1:$1,0)),"")="","",IFERROR(INDEX('RAID Log'!$1:$1048576,$B2,MATCH("Impact Rating",'RAID Log'!$1:$1,0)),"")))</f>
        <v/>
      </c>
      <c r="H2" s="31" t="str">
        <f>IF($B2="","",IF(IFERROR(INDEX('RAID Log'!$1:$1048576,$B2,MATCH("Initial Probability",'RAID Log'!$1:$1,0)),"")="","",IFERROR(INDEX('RAID Log'!$1:$1048576,$B2,MATCH("Initial Probability",'RAID Log'!$1:$1,0)),"")))</f>
        <v/>
      </c>
      <c r="I2" s="32" t="str">
        <f t="shared" ref="I2:I52" si="0">IF($B2="","",(IF($G2="Severe",25,IF($G2="Major",20,IF($G2="Moderate",15,IF($G2="Minor",10,IF($G2="Insignificant",5,0))))))*IF($H2="Very High",1,IF($H2="High",0.8,IF($H2="Average",0.6,IF($H2="Low",0.4,IF($H2="Very Low",0.2,0))))))</f>
        <v/>
      </c>
      <c r="J2" s="31" t="str">
        <f t="shared" ref="J2:J52" si="1">IF($B2="","",IF($I2&gt;20,"Critical",IF($I2&gt;15,"High",IF($I2&gt;8,"Moderate",IF($I2&gt;3,"Tolerable","Negligible")))))</f>
        <v/>
      </c>
      <c r="K2" s="32" t="str">
        <f t="shared" ref="K2:K33" si="2">IF(OR($B2="",UPPER($L2)="CLOSED"),"",COUNTIFS($L$2:$L$52,"&lt;&gt;Closed",$I$2:$I$52,"&gt;"&amp;$I2)+COUNTIFS($L$2:$L$52,"&lt;&gt;Closed",$I$2:$I$52,$I2,$N$2:$N$52,"&lt;"&amp;$N2)+COUNTIFS($L$2:$L$52,"&lt;&gt;Closed",$I$2:$I$52,$I2,$N$2:$N$52,$N2,$B$2:$B$52,"&lt;"&amp;$B2)+1)</f>
        <v/>
      </c>
      <c r="L2" s="31" t="str">
        <f>IF($B2="","",IF(IFERROR(INDEX('RAID Log'!$1:$1048576,$B2,MATCH("Status",'RAID Log'!$1:$1,0)),"")="","",IFERROR(INDEX('RAID Log'!$1:$1048576,$B2,MATCH("Status",'RAID Log'!$1:$1,0)),"")))</f>
        <v/>
      </c>
      <c r="M2" s="31" t="str">
        <f>IF($B2="","",IF(IFERROR(INDEX('RAID Log'!$1:$1048576,$B2,MATCH("RAID Owner",'RAID Log'!$1:$1,0)),"")="","",IFERROR(INDEX('RAID Log'!$1:$1048576,$B2,MATCH("RAID Owner",'RAID Log'!$1:$1,0)),"")))</f>
        <v/>
      </c>
      <c r="N2" s="33" t="str">
        <f>IF($B2="","",IF(IFERROR(INDEX('RAID Log'!$1:$1048576,$B2,MATCH("Date Raised",'RAID Log'!$1:$1,0)),"")="","",IFERROR(INDEX('RAID Log'!$1:$1048576,$B2,MATCH("Date Raised",'RAID Log'!$1:$1,0)),"")))</f>
        <v/>
      </c>
      <c r="O2" s="33" t="str">
        <f>IF($B2="","",IF(IFERROR(INDEX('RAID Log'!$1:$1048576,$B2,MATCH("Closed Date",'RAID Log'!$1:$1,0)),"")="","",IFERROR(INDEX('RAID Log'!$1:$1048576,$B2,MATCH("Closed Date",'RAID Log'!$1:$1,0)),"")))</f>
        <v/>
      </c>
      <c r="P2" s="31" t="str">
        <f>IF($B2="","",IF(IFERROR(INDEX('RAID Log'!$1:$1048576,$B2,MATCH("Mitigation Strategy",'RAID Log'!$1:$1,0)),"")="","",IFERROR(INDEX('RAID Log'!$1:$1048576,$B2,MATCH("Mitigation Strategy",'RAID Log'!$1:$1,0)),"")))</f>
        <v/>
      </c>
      <c r="Q2" s="34" t="str">
        <f>IF($B2="","",IF(IFERROR(INDEX('RAID Log'!$1:$1048576,$B2,MATCH("RAID Response/Plan",'RAID Log'!$1:$1,0)),"")="","",IFERROR(INDEX('RAID Log'!$1:$1048576,$B2,MATCH("RAID Response/Plan",'RAID Log'!$1:$1,0)),"")))</f>
        <v/>
      </c>
      <c r="S2" s="1"/>
      <c r="T2" s="1"/>
      <c r="U2" s="1"/>
    </row>
    <row r="3" spans="1:40" ht="27" customHeight="1" thickTop="1" thickBot="1" x14ac:dyDescent="0.3">
      <c r="A3" s="28" t="str">
        <f>IF($B3="","",IF(IFERROR(INDEX('RAID Log'!$1:$1048576,$B3,MATCH("RAID ID",'RAID Log'!$1:$1,0)),"")="","",IFERROR(INDEX('RAID Log'!$1:$1048576,$B3,MATCH("RAID ID",'RAID Log'!$1:$1,0)),"")))</f>
        <v/>
      </c>
      <c r="B3" s="29" t="str">
        <f>IFERROR(MATCH(ROW()-1,'RAID Log'!$S:$S,0),"")</f>
        <v/>
      </c>
      <c r="C3" s="30" t="str">
        <f>IF($B3="","",IF(IFERROR(INDEX('RAID Log'!$1:$1048576,$B3,MATCH("Description",'RAID Log'!$1:$1,0)),"")="","",IFERROR(INDEX('RAID Log'!$1:$1048576,$B3,MATCH("Description",'RAID Log'!$1:$1,0)),"")))</f>
        <v/>
      </c>
      <c r="D3" s="30" t="str">
        <f>IF($B3="","",IF(IFERROR(INDEX('RAID Log'!$1:$1048576,$B3,MATCH("Impact/Effect of the RAID",'RAID Log'!$1:$1,0)),"")="","",IFERROR(INDEX('RAID Log'!$1:$1048576,$B3,MATCH("Impact/Effect of the RAID",'RAID Log'!$1:$1,0)),"")))</f>
        <v/>
      </c>
      <c r="E3" s="31" t="str">
        <f>IF($B3="","",IF(IFERROR(INDEX('RAID Log'!$1:$1048576,$B3,MATCH("Impact Area",'RAID Log'!$1:$1,0)),"")="","",IFERROR(INDEX('RAID Log'!$1:$1048576,$B3,MATCH("Impact Area",'RAID Log'!$1:$1,0)),"")))</f>
        <v/>
      </c>
      <c r="F3" s="31" t="str">
        <f>IF($B3="","",IF(IFERROR(INDEX('RAID Log'!$1:$1048576,$B3,MATCH("Impact Area",'RAID Log'!$1:$1,0)),"")="","",IFERROR(INDEX('RAID Log'!$1:$1048576,$B3,MATCH("Impact Area",'RAID Log'!$1:$1,0)),"")))</f>
        <v/>
      </c>
      <c r="G3" s="31" t="str">
        <f>IF($B3="","",IF(IFERROR(INDEX('RAID Log'!$1:$1048576,$B3,MATCH("Impact Rating",'RAID Log'!$1:$1,0)),"")="","",IFERROR(INDEX('RAID Log'!$1:$1048576,$B3,MATCH("Impact Rating",'RAID Log'!$1:$1,0)),"")))</f>
        <v/>
      </c>
      <c r="H3" s="31" t="str">
        <f>IF($B3="","",IF(IFERROR(INDEX('RAID Log'!$1:$1048576,$B3,MATCH("Initial Probability",'RAID Log'!$1:$1,0)),"")="","",IFERROR(INDEX('RAID Log'!$1:$1048576,$B3,MATCH("Initial Probability",'RAID Log'!$1:$1,0)),"")))</f>
        <v/>
      </c>
      <c r="I3" s="32" t="str">
        <f t="shared" si="0"/>
        <v/>
      </c>
      <c r="J3" s="31" t="str">
        <f t="shared" si="1"/>
        <v/>
      </c>
      <c r="K3" s="32" t="str">
        <f t="shared" si="2"/>
        <v/>
      </c>
      <c r="L3" s="31" t="str">
        <f>IF($B3="","",IF(IFERROR(INDEX('RAID Log'!$1:$1048576,$B3,MATCH("Status",'RAID Log'!$1:$1,0)),"")="","",IFERROR(INDEX('RAID Log'!$1:$1048576,$B3,MATCH("Status",'RAID Log'!$1:$1,0)),"")))</f>
        <v/>
      </c>
      <c r="M3" s="31" t="str">
        <f>IF($B3="","",IF(IFERROR(INDEX('RAID Log'!$1:$1048576,$B3,MATCH("RAID Owner",'RAID Log'!$1:$1,0)),"")="","",IFERROR(INDEX('RAID Log'!$1:$1048576,$B3,MATCH("RAID Owner",'RAID Log'!$1:$1,0)),"")))</f>
        <v/>
      </c>
      <c r="N3" s="33" t="str">
        <f>IF($B3="","",IF(IFERROR(INDEX('RAID Log'!$1:$1048576,$B3,MATCH("Date Raised",'RAID Log'!$1:$1,0)),"")="","",IFERROR(INDEX('RAID Log'!$1:$1048576,$B3,MATCH("Date Raised",'RAID Log'!$1:$1,0)),"")))</f>
        <v/>
      </c>
      <c r="O3" s="33" t="str">
        <f>IF($B3="","",IF(IFERROR(INDEX('RAID Log'!$1:$1048576,$B3,MATCH("Closed Date",'RAID Log'!$1:$1,0)),"")="","",IFERROR(INDEX('RAID Log'!$1:$1048576,$B3,MATCH("Closed Date",'RAID Log'!$1:$1,0)),"")))</f>
        <v/>
      </c>
      <c r="P3" s="31" t="str">
        <f>IF($B3="","",IF(IFERROR(INDEX('RAID Log'!$1:$1048576,$B3,MATCH("Mitigation Strategy",'RAID Log'!$1:$1,0)),"")="","",IFERROR(INDEX('RAID Log'!$1:$1048576,$B3,MATCH("Mitigation Strategy",'RAID Log'!$1:$1,0)),"")))</f>
        <v/>
      </c>
      <c r="Q3" s="34" t="str">
        <f>IF($B3="","",IF(IFERROR(INDEX('RAID Log'!$1:$1048576,$B3,MATCH("RAID Response/Plan",'RAID Log'!$1:$1,0)),"")="","",IFERROR(INDEX('RAID Log'!$1:$1048576,$B3,MATCH("RAID Response/Plan",'RAID Log'!$1:$1,0)),"")))</f>
        <v/>
      </c>
      <c r="S3" s="1"/>
      <c r="T3" s="1"/>
      <c r="U3" s="1"/>
    </row>
    <row r="4" spans="1:40" ht="27" customHeight="1" thickTop="1" thickBot="1" x14ac:dyDescent="0.3">
      <c r="A4" s="28" t="str">
        <f>IF($B4="","",IF(IFERROR(INDEX('RAID Log'!$1:$1048576,$B4,MATCH("RAID ID",'RAID Log'!$1:$1,0)),"")="","",IFERROR(INDEX('RAID Log'!$1:$1048576,$B4,MATCH("RAID ID",'RAID Log'!$1:$1,0)),"")))</f>
        <v/>
      </c>
      <c r="B4" s="29" t="str">
        <f>IFERROR(MATCH(ROW()-1,'RAID Log'!$S:$S,0),"")</f>
        <v/>
      </c>
      <c r="C4" s="30" t="str">
        <f>IF($B4="","",IF(IFERROR(INDEX('RAID Log'!$1:$1048576,$B4,MATCH("Description",'RAID Log'!$1:$1,0)),"")="","",IFERROR(INDEX('RAID Log'!$1:$1048576,$B4,MATCH("Description",'RAID Log'!$1:$1,0)),"")))</f>
        <v/>
      </c>
      <c r="D4" s="30" t="str">
        <f>IF($B4="","",IF(IFERROR(INDEX('RAID Log'!$1:$1048576,$B4,MATCH("Impact/Effect of the RAID",'RAID Log'!$1:$1,0)),"")="","",IFERROR(INDEX('RAID Log'!$1:$1048576,$B4,MATCH("Impact/Effect of the RAID",'RAID Log'!$1:$1,0)),"")))</f>
        <v/>
      </c>
      <c r="E4" s="31" t="str">
        <f>IF($B4="","",IF(IFERROR(INDEX('RAID Log'!$1:$1048576,$B4,MATCH("Impact Area",'RAID Log'!$1:$1,0)),"")="","",IFERROR(INDEX('RAID Log'!$1:$1048576,$B4,MATCH("Impact Area",'RAID Log'!$1:$1,0)),"")))</f>
        <v/>
      </c>
      <c r="F4" s="31" t="str">
        <f>IF($B4="","",IF(IFERROR(INDEX('RAID Log'!$1:$1048576,$B4,MATCH("Impact Area",'RAID Log'!$1:$1,0)),"")="","",IFERROR(INDEX('RAID Log'!$1:$1048576,$B4,MATCH("Impact Area",'RAID Log'!$1:$1,0)),"")))</f>
        <v/>
      </c>
      <c r="G4" s="31" t="str">
        <f>IF($B4="","",IF(IFERROR(INDEX('RAID Log'!$1:$1048576,$B4,MATCH("Impact Rating",'RAID Log'!$1:$1,0)),"")="","",IFERROR(INDEX('RAID Log'!$1:$1048576,$B4,MATCH("Impact Rating",'RAID Log'!$1:$1,0)),"")))</f>
        <v/>
      </c>
      <c r="H4" s="31" t="str">
        <f>IF($B4="","",IF(IFERROR(INDEX('RAID Log'!$1:$1048576,$B4,MATCH("Initial Probability",'RAID Log'!$1:$1,0)),"")="","",IFERROR(INDEX('RAID Log'!$1:$1048576,$B4,MATCH("Initial Probability",'RAID Log'!$1:$1,0)),"")))</f>
        <v/>
      </c>
      <c r="I4" s="32" t="str">
        <f t="shared" si="0"/>
        <v/>
      </c>
      <c r="J4" s="31" t="str">
        <f t="shared" si="1"/>
        <v/>
      </c>
      <c r="K4" s="32" t="str">
        <f t="shared" si="2"/>
        <v/>
      </c>
      <c r="L4" s="31" t="str">
        <f>IF($B4="","",IF(IFERROR(INDEX('RAID Log'!$1:$1048576,$B4,MATCH("Status",'RAID Log'!$1:$1,0)),"")="","",IFERROR(INDEX('RAID Log'!$1:$1048576,$B4,MATCH("Status",'RAID Log'!$1:$1,0)),"")))</f>
        <v/>
      </c>
      <c r="M4" s="31" t="str">
        <f>IF($B4="","",IF(IFERROR(INDEX('RAID Log'!$1:$1048576,$B4,MATCH("RAID Owner",'RAID Log'!$1:$1,0)),"")="","",IFERROR(INDEX('RAID Log'!$1:$1048576,$B4,MATCH("RAID Owner",'RAID Log'!$1:$1,0)),"")))</f>
        <v/>
      </c>
      <c r="N4" s="33" t="str">
        <f>IF($B4="","",IF(IFERROR(INDEX('RAID Log'!$1:$1048576,$B4,MATCH("Date Raised",'RAID Log'!$1:$1,0)),"")="","",IFERROR(INDEX('RAID Log'!$1:$1048576,$B4,MATCH("Date Raised",'RAID Log'!$1:$1,0)),"")))</f>
        <v/>
      </c>
      <c r="O4" s="33" t="str">
        <f>IF($B4="","",IF(IFERROR(INDEX('RAID Log'!$1:$1048576,$B4,MATCH("Closed Date",'RAID Log'!$1:$1,0)),"")="","",IFERROR(INDEX('RAID Log'!$1:$1048576,$B4,MATCH("Closed Date",'RAID Log'!$1:$1,0)),"")))</f>
        <v/>
      </c>
      <c r="P4" s="31" t="str">
        <f>IF($B4="","",IF(IFERROR(INDEX('RAID Log'!$1:$1048576,$B4,MATCH("Mitigation Strategy",'RAID Log'!$1:$1,0)),"")="","",IFERROR(INDEX('RAID Log'!$1:$1048576,$B4,MATCH("Mitigation Strategy",'RAID Log'!$1:$1,0)),"")))</f>
        <v/>
      </c>
      <c r="Q4" s="34" t="str">
        <f>IF($B4="","",IF(IFERROR(INDEX('RAID Log'!$1:$1048576,$B4,MATCH("RAID Response/Plan",'RAID Log'!$1:$1,0)),"")="","",IFERROR(INDEX('RAID Log'!$1:$1048576,$B4,MATCH("RAID Response/Plan",'RAID Log'!$1:$1,0)),"")))</f>
        <v/>
      </c>
      <c r="S4" s="1"/>
      <c r="T4" s="1"/>
      <c r="U4" s="1"/>
    </row>
    <row r="5" spans="1:40" ht="27" customHeight="1" thickTop="1" thickBot="1" x14ac:dyDescent="0.3">
      <c r="A5" s="28" t="str">
        <f>IF($B5="","",IF(IFERROR(INDEX('RAID Log'!$1:$1048576,$B5,MATCH("RAID ID",'RAID Log'!$1:$1,0)),"")="","",IFERROR(INDEX('RAID Log'!$1:$1048576,$B5,MATCH("RAID ID",'RAID Log'!$1:$1,0)),"")))</f>
        <v/>
      </c>
      <c r="B5" s="29" t="str">
        <f>IFERROR(MATCH(ROW()-1,'RAID Log'!$S:$S,0),"")</f>
        <v/>
      </c>
      <c r="C5" s="30" t="str">
        <f>IF($B5="","",IF(IFERROR(INDEX('RAID Log'!$1:$1048576,$B5,MATCH("Description",'RAID Log'!$1:$1,0)),"")="","",IFERROR(INDEX('RAID Log'!$1:$1048576,$B5,MATCH("Description",'RAID Log'!$1:$1,0)),"")))</f>
        <v/>
      </c>
      <c r="D5" s="30" t="str">
        <f>IF($B5="","",IF(IFERROR(INDEX('RAID Log'!$1:$1048576,$B5,MATCH("Impact/Effect of the RAID",'RAID Log'!$1:$1,0)),"")="","",IFERROR(INDEX('RAID Log'!$1:$1048576,$B5,MATCH("Impact/Effect of the RAID",'RAID Log'!$1:$1,0)),"")))</f>
        <v/>
      </c>
      <c r="E5" s="31" t="str">
        <f>IF($B5="","",IF(IFERROR(INDEX('RAID Log'!$1:$1048576,$B5,MATCH("Impact Area",'RAID Log'!$1:$1,0)),"")="","",IFERROR(INDEX('RAID Log'!$1:$1048576,$B5,MATCH("Impact Area",'RAID Log'!$1:$1,0)),"")))</f>
        <v/>
      </c>
      <c r="F5" s="31" t="str">
        <f>IF($B5="","",IF(IFERROR(INDEX('RAID Log'!$1:$1048576,$B5,MATCH("Impact Area",'RAID Log'!$1:$1,0)),"")="","",IFERROR(INDEX('RAID Log'!$1:$1048576,$B5,MATCH("Impact Area",'RAID Log'!$1:$1,0)),"")))</f>
        <v/>
      </c>
      <c r="G5" s="31" t="str">
        <f>IF($B5="","",IF(IFERROR(INDEX('RAID Log'!$1:$1048576,$B5,MATCH("Impact Rating",'RAID Log'!$1:$1,0)),"")="","",IFERROR(INDEX('RAID Log'!$1:$1048576,$B5,MATCH("Impact Rating",'RAID Log'!$1:$1,0)),"")))</f>
        <v/>
      </c>
      <c r="H5" s="31" t="str">
        <f>IF($B5="","",IF(IFERROR(INDEX('RAID Log'!$1:$1048576,$B5,MATCH("Initial Probability",'RAID Log'!$1:$1,0)),"")="","",IFERROR(INDEX('RAID Log'!$1:$1048576,$B5,MATCH("Initial Probability",'RAID Log'!$1:$1,0)),"")))</f>
        <v/>
      </c>
      <c r="I5" s="32" t="str">
        <f t="shared" si="0"/>
        <v/>
      </c>
      <c r="J5" s="31" t="str">
        <f t="shared" si="1"/>
        <v/>
      </c>
      <c r="K5" s="32" t="str">
        <f t="shared" si="2"/>
        <v/>
      </c>
      <c r="L5" s="31" t="str">
        <f>IF($B5="","",IF(IFERROR(INDEX('RAID Log'!$1:$1048576,$B5,MATCH("Status",'RAID Log'!$1:$1,0)),"")="","",IFERROR(INDEX('RAID Log'!$1:$1048576,$B5,MATCH("Status",'RAID Log'!$1:$1,0)),"")))</f>
        <v/>
      </c>
      <c r="M5" s="31" t="str">
        <f>IF($B5="","",IF(IFERROR(INDEX('RAID Log'!$1:$1048576,$B5,MATCH("RAID Owner",'RAID Log'!$1:$1,0)),"")="","",IFERROR(INDEX('RAID Log'!$1:$1048576,$B5,MATCH("RAID Owner",'RAID Log'!$1:$1,0)),"")))</f>
        <v/>
      </c>
      <c r="N5" s="33" t="str">
        <f>IF($B5="","",IF(IFERROR(INDEX('RAID Log'!$1:$1048576,$B5,MATCH("Date Raised",'RAID Log'!$1:$1,0)),"")="","",IFERROR(INDEX('RAID Log'!$1:$1048576,$B5,MATCH("Date Raised",'RAID Log'!$1:$1,0)),"")))</f>
        <v/>
      </c>
      <c r="O5" s="33" t="str">
        <f>IF($B5="","",IF(IFERROR(INDEX('RAID Log'!$1:$1048576,$B5,MATCH("Closed Date",'RAID Log'!$1:$1,0)),"")="","",IFERROR(INDEX('RAID Log'!$1:$1048576,$B5,MATCH("Closed Date",'RAID Log'!$1:$1,0)),"")))</f>
        <v/>
      </c>
      <c r="P5" s="31" t="str">
        <f>IF($B5="","",IF(IFERROR(INDEX('RAID Log'!$1:$1048576,$B5,MATCH("Mitigation Strategy",'RAID Log'!$1:$1,0)),"")="","",IFERROR(INDEX('RAID Log'!$1:$1048576,$B5,MATCH("Mitigation Strategy",'RAID Log'!$1:$1,0)),"")))</f>
        <v/>
      </c>
      <c r="Q5" s="34" t="str">
        <f>IF($B5="","",IF(IFERROR(INDEX('RAID Log'!$1:$1048576,$B5,MATCH("RAID Response/Plan",'RAID Log'!$1:$1,0)),"")="","",IFERROR(INDEX('RAID Log'!$1:$1048576,$B5,MATCH("RAID Response/Plan",'RAID Log'!$1:$1,0)),"")))</f>
        <v/>
      </c>
    </row>
    <row r="6" spans="1:40" ht="15" customHeight="1" thickTop="1" thickBot="1" x14ac:dyDescent="0.3">
      <c r="A6" s="28" t="str">
        <f>IF($B6="","",IF(IFERROR(INDEX('RAID Log'!$1:$1048576,$B6,MATCH("RAID ID",'RAID Log'!$1:$1,0)),"")="","",IFERROR(INDEX('RAID Log'!$1:$1048576,$B6,MATCH("RAID ID",'RAID Log'!$1:$1,0)),"")))</f>
        <v/>
      </c>
      <c r="B6" s="29" t="str">
        <f>IFERROR(MATCH(ROW()-1,'RAID Log'!$S:$S,0),"")</f>
        <v/>
      </c>
      <c r="C6" s="30" t="str">
        <f>IF($B6="","",IF(IFERROR(INDEX('RAID Log'!$1:$1048576,$B6,MATCH("Description",'RAID Log'!$1:$1,0)),"")="","",IFERROR(INDEX('RAID Log'!$1:$1048576,$B6,MATCH("Description",'RAID Log'!$1:$1,0)),"")))</f>
        <v/>
      </c>
      <c r="D6" s="30" t="str">
        <f>IF($B6="","",IF(IFERROR(INDEX('RAID Log'!$1:$1048576,$B6,MATCH("Impact/Effect of the RAID",'RAID Log'!$1:$1,0)),"")="","",IFERROR(INDEX('RAID Log'!$1:$1048576,$B6,MATCH("Impact/Effect of the RAID",'RAID Log'!$1:$1,0)),"")))</f>
        <v/>
      </c>
      <c r="E6" s="31" t="str">
        <f>IF($B6="","",IF(IFERROR(INDEX('RAID Log'!$1:$1048576,$B6,MATCH("Impact Area",'RAID Log'!$1:$1,0)),"")="","",IFERROR(INDEX('RAID Log'!$1:$1048576,$B6,MATCH("Impact Area",'RAID Log'!$1:$1,0)),"")))</f>
        <v/>
      </c>
      <c r="F6" s="31" t="str">
        <f>IF($B6="","",IF(IFERROR(INDEX('RAID Log'!$1:$1048576,$B6,MATCH("Impact Area",'RAID Log'!$1:$1,0)),"")="","",IFERROR(INDEX('RAID Log'!$1:$1048576,$B6,MATCH("Impact Area",'RAID Log'!$1:$1,0)),"")))</f>
        <v/>
      </c>
      <c r="G6" s="31" t="str">
        <f>IF($B6="","",IF(IFERROR(INDEX('RAID Log'!$1:$1048576,$B6,MATCH("Impact Rating",'RAID Log'!$1:$1,0)),"")="","",IFERROR(INDEX('RAID Log'!$1:$1048576,$B6,MATCH("Impact Rating",'RAID Log'!$1:$1,0)),"")))</f>
        <v/>
      </c>
      <c r="H6" s="31" t="str">
        <f>IF($B6="","",IF(IFERROR(INDEX('RAID Log'!$1:$1048576,$B6,MATCH("Initial Probability",'RAID Log'!$1:$1,0)),"")="","",IFERROR(INDEX('RAID Log'!$1:$1048576,$B6,MATCH("Initial Probability",'RAID Log'!$1:$1,0)),"")))</f>
        <v/>
      </c>
      <c r="I6" s="32" t="str">
        <f t="shared" si="0"/>
        <v/>
      </c>
      <c r="J6" s="31" t="str">
        <f t="shared" si="1"/>
        <v/>
      </c>
      <c r="K6" s="32" t="str">
        <f t="shared" si="2"/>
        <v/>
      </c>
      <c r="L6" s="31" t="str">
        <f>IF($B6="","",IF(IFERROR(INDEX('RAID Log'!$1:$1048576,$B6,MATCH("Status",'RAID Log'!$1:$1,0)),"")="","",IFERROR(INDEX('RAID Log'!$1:$1048576,$B6,MATCH("Status",'RAID Log'!$1:$1,0)),"")))</f>
        <v/>
      </c>
      <c r="M6" s="31" t="str">
        <f>IF($B6="","",IF(IFERROR(INDEX('RAID Log'!$1:$1048576,$B6,MATCH("RAID Owner",'RAID Log'!$1:$1,0)),"")="","",IFERROR(INDEX('RAID Log'!$1:$1048576,$B6,MATCH("RAID Owner",'RAID Log'!$1:$1,0)),"")))</f>
        <v/>
      </c>
      <c r="N6" s="33" t="str">
        <f>IF($B6="","",IF(IFERROR(INDEX('RAID Log'!$1:$1048576,$B6,MATCH("Date Raised",'RAID Log'!$1:$1,0)),"")="","",IFERROR(INDEX('RAID Log'!$1:$1048576,$B6,MATCH("Date Raised",'RAID Log'!$1:$1,0)),"")))</f>
        <v/>
      </c>
      <c r="O6" s="33" t="str">
        <f>IF($B6="","",IF(IFERROR(INDEX('RAID Log'!$1:$1048576,$B6,MATCH("Closed Date",'RAID Log'!$1:$1,0)),"")="","",IFERROR(INDEX('RAID Log'!$1:$1048576,$B6,MATCH("Closed Date",'RAID Log'!$1:$1,0)),"")))</f>
        <v/>
      </c>
      <c r="P6" s="31" t="str">
        <f>IF($B6="","",IF(IFERROR(INDEX('RAID Log'!$1:$1048576,$B6,MATCH("Mitigation Strategy",'RAID Log'!$1:$1,0)),"")="","",IFERROR(INDEX('RAID Log'!$1:$1048576,$B6,MATCH("Mitigation Strategy",'RAID Log'!$1:$1,0)),"")))</f>
        <v/>
      </c>
      <c r="Q6" s="34" t="str">
        <f>IF($B6="","",IF(IFERROR(INDEX('RAID Log'!$1:$1048576,$B6,MATCH("RAID Response/Plan",'RAID Log'!$1:$1,0)),"")="","",IFERROR(INDEX('RAID Log'!$1:$1048576,$B6,MATCH("RAID Response/Plan",'RAID Log'!$1:$1,0)),"")))</f>
        <v/>
      </c>
    </row>
    <row r="7" spans="1:40" ht="15" customHeight="1" thickTop="1" thickBot="1" x14ac:dyDescent="0.3">
      <c r="A7" s="28" t="str">
        <f>IF($B7="","",IF(IFERROR(INDEX('RAID Log'!$1:$1048576,$B7,MATCH("RAID ID",'RAID Log'!$1:$1,0)),"")="","",IFERROR(INDEX('RAID Log'!$1:$1048576,$B7,MATCH("RAID ID",'RAID Log'!$1:$1,0)),"")))</f>
        <v/>
      </c>
      <c r="B7" s="29" t="str">
        <f>IFERROR(MATCH(ROW()-1,'RAID Log'!$S:$S,0),"")</f>
        <v/>
      </c>
      <c r="C7" s="30" t="str">
        <f>IF($B7="","",IF(IFERROR(INDEX('RAID Log'!$1:$1048576,$B7,MATCH("Description",'RAID Log'!$1:$1,0)),"")="","",IFERROR(INDEX('RAID Log'!$1:$1048576,$B7,MATCH("Description",'RAID Log'!$1:$1,0)),"")))</f>
        <v/>
      </c>
      <c r="D7" s="30" t="str">
        <f>IF($B7="","",IF(IFERROR(INDEX('RAID Log'!$1:$1048576,$B7,MATCH("Impact/Effect of the RAID",'RAID Log'!$1:$1,0)),"")="","",IFERROR(INDEX('RAID Log'!$1:$1048576,$B7,MATCH("Impact/Effect of the RAID",'RAID Log'!$1:$1,0)),"")))</f>
        <v/>
      </c>
      <c r="E7" s="31" t="str">
        <f>IF($B7="","",IF(IFERROR(INDEX('RAID Log'!$1:$1048576,$B7,MATCH("Impact Area",'RAID Log'!$1:$1,0)),"")="","",IFERROR(INDEX('RAID Log'!$1:$1048576,$B7,MATCH("Impact Area",'RAID Log'!$1:$1,0)),"")))</f>
        <v/>
      </c>
      <c r="F7" s="31" t="str">
        <f>IF($B7="","",IF(IFERROR(INDEX('RAID Log'!$1:$1048576,$B7,MATCH("Impact Area",'RAID Log'!$1:$1,0)),"")="","",IFERROR(INDEX('RAID Log'!$1:$1048576,$B7,MATCH("Impact Area",'RAID Log'!$1:$1,0)),"")))</f>
        <v/>
      </c>
      <c r="G7" s="31" t="str">
        <f>IF($B7="","",IF(IFERROR(INDEX('RAID Log'!$1:$1048576,$B7,MATCH("Impact Rating",'RAID Log'!$1:$1,0)),"")="","",IFERROR(INDEX('RAID Log'!$1:$1048576,$B7,MATCH("Impact Rating",'RAID Log'!$1:$1,0)),"")))</f>
        <v/>
      </c>
      <c r="H7" s="31" t="str">
        <f>IF($B7="","",IF(IFERROR(INDEX('RAID Log'!$1:$1048576,$B7,MATCH("Initial Probability",'RAID Log'!$1:$1,0)),"")="","",IFERROR(INDEX('RAID Log'!$1:$1048576,$B7,MATCH("Initial Probability",'RAID Log'!$1:$1,0)),"")))</f>
        <v/>
      </c>
      <c r="I7" s="32" t="str">
        <f t="shared" si="0"/>
        <v/>
      </c>
      <c r="J7" s="31" t="str">
        <f t="shared" si="1"/>
        <v/>
      </c>
      <c r="K7" s="32" t="str">
        <f t="shared" si="2"/>
        <v/>
      </c>
      <c r="L7" s="31" t="str">
        <f>IF($B7="","",IF(IFERROR(INDEX('RAID Log'!$1:$1048576,$B7,MATCH("Status",'RAID Log'!$1:$1,0)),"")="","",IFERROR(INDEX('RAID Log'!$1:$1048576,$B7,MATCH("Status",'RAID Log'!$1:$1,0)),"")))</f>
        <v/>
      </c>
      <c r="M7" s="31" t="str">
        <f>IF($B7="","",IF(IFERROR(INDEX('RAID Log'!$1:$1048576,$B7,MATCH("RAID Owner",'RAID Log'!$1:$1,0)),"")="","",IFERROR(INDEX('RAID Log'!$1:$1048576,$B7,MATCH("RAID Owner",'RAID Log'!$1:$1,0)),"")))</f>
        <v/>
      </c>
      <c r="N7" s="33" t="str">
        <f>IF($B7="","",IF(IFERROR(INDEX('RAID Log'!$1:$1048576,$B7,MATCH("Date Raised",'RAID Log'!$1:$1,0)),"")="","",IFERROR(INDEX('RAID Log'!$1:$1048576,$B7,MATCH("Date Raised",'RAID Log'!$1:$1,0)),"")))</f>
        <v/>
      </c>
      <c r="O7" s="33" t="str">
        <f>IF($B7="","",IF(IFERROR(INDEX('RAID Log'!$1:$1048576,$B7,MATCH("Closed Date",'RAID Log'!$1:$1,0)),"")="","",IFERROR(INDEX('RAID Log'!$1:$1048576,$B7,MATCH("Closed Date",'RAID Log'!$1:$1,0)),"")))</f>
        <v/>
      </c>
      <c r="P7" s="31" t="str">
        <f>IF($B7="","",IF(IFERROR(INDEX('RAID Log'!$1:$1048576,$B7,MATCH("Mitigation Strategy",'RAID Log'!$1:$1,0)),"")="","",IFERROR(INDEX('RAID Log'!$1:$1048576,$B7,MATCH("Mitigation Strategy",'RAID Log'!$1:$1,0)),"")))</f>
        <v/>
      </c>
      <c r="Q7" s="34" t="str">
        <f>IF($B7="","",IF(IFERROR(INDEX('RAID Log'!$1:$1048576,$B7,MATCH("RAID Response/Plan",'RAID Log'!$1:$1,0)),"")="","",IFERROR(INDEX('RAID Log'!$1:$1048576,$B7,MATCH("RAID Response/Plan",'RAID Log'!$1:$1,0)),"")))</f>
        <v/>
      </c>
    </row>
    <row r="8" spans="1:40" ht="27" customHeight="1" thickTop="1" thickBot="1" x14ac:dyDescent="0.3">
      <c r="A8" s="28" t="str">
        <f>IF($B8="","",IF(IFERROR(INDEX('RAID Log'!$1:$1048576,$B8,MATCH("RAID ID",'RAID Log'!$1:$1,0)),"")="","",IFERROR(INDEX('RAID Log'!$1:$1048576,$B8,MATCH("RAID ID",'RAID Log'!$1:$1,0)),"")))</f>
        <v/>
      </c>
      <c r="B8" s="29" t="str">
        <f>IFERROR(MATCH(ROW()-1,'RAID Log'!$S:$S,0),"")</f>
        <v/>
      </c>
      <c r="C8" s="30" t="str">
        <f>IF($B8="","",IF(IFERROR(INDEX('RAID Log'!$1:$1048576,$B8,MATCH("Description",'RAID Log'!$1:$1,0)),"")="","",IFERROR(INDEX('RAID Log'!$1:$1048576,$B8,MATCH("Description",'RAID Log'!$1:$1,0)),"")))</f>
        <v/>
      </c>
      <c r="D8" s="30" t="str">
        <f>IF($B8="","",IF(IFERROR(INDEX('RAID Log'!$1:$1048576,$B8,MATCH("Impact/Effect of the RAID",'RAID Log'!$1:$1,0)),"")="","",IFERROR(INDEX('RAID Log'!$1:$1048576,$B8,MATCH("Impact/Effect of the RAID",'RAID Log'!$1:$1,0)),"")))</f>
        <v/>
      </c>
      <c r="E8" s="31" t="str">
        <f>IF($B8="","",IF(IFERROR(INDEX('RAID Log'!$1:$1048576,$B8,MATCH("Impact Area",'RAID Log'!$1:$1,0)),"")="","",IFERROR(INDEX('RAID Log'!$1:$1048576,$B8,MATCH("Impact Area",'RAID Log'!$1:$1,0)),"")))</f>
        <v/>
      </c>
      <c r="F8" s="31" t="str">
        <f>IF($B8="","",IF(IFERROR(INDEX('RAID Log'!$1:$1048576,$B8,MATCH("Impact Area",'RAID Log'!$1:$1,0)),"")="","",IFERROR(INDEX('RAID Log'!$1:$1048576,$B8,MATCH("Impact Area",'RAID Log'!$1:$1,0)),"")))</f>
        <v/>
      </c>
      <c r="G8" s="31" t="str">
        <f>IF($B8="","",IF(IFERROR(INDEX('RAID Log'!$1:$1048576,$B8,MATCH("Impact Rating",'RAID Log'!$1:$1,0)),"")="","",IFERROR(INDEX('RAID Log'!$1:$1048576,$B8,MATCH("Impact Rating",'RAID Log'!$1:$1,0)),"")))</f>
        <v/>
      </c>
      <c r="H8" s="31" t="str">
        <f>IF($B8="","",IF(IFERROR(INDEX('RAID Log'!$1:$1048576,$B8,MATCH("Initial Probability",'RAID Log'!$1:$1,0)),"")="","",IFERROR(INDEX('RAID Log'!$1:$1048576,$B8,MATCH("Initial Probability",'RAID Log'!$1:$1,0)),"")))</f>
        <v/>
      </c>
      <c r="I8" s="32" t="str">
        <f t="shared" si="0"/>
        <v/>
      </c>
      <c r="J8" s="31" t="str">
        <f t="shared" si="1"/>
        <v/>
      </c>
      <c r="K8" s="32" t="str">
        <f t="shared" si="2"/>
        <v/>
      </c>
      <c r="L8" s="31" t="str">
        <f>IF($B8="","",IF(IFERROR(INDEX('RAID Log'!$1:$1048576,$B8,MATCH("Status",'RAID Log'!$1:$1,0)),"")="","",IFERROR(INDEX('RAID Log'!$1:$1048576,$B8,MATCH("Status",'RAID Log'!$1:$1,0)),"")))</f>
        <v/>
      </c>
      <c r="M8" s="31" t="str">
        <f>IF($B8="","",IF(IFERROR(INDEX('RAID Log'!$1:$1048576,$B8,MATCH("RAID Owner",'RAID Log'!$1:$1,0)),"")="","",IFERROR(INDEX('RAID Log'!$1:$1048576,$B8,MATCH("RAID Owner",'RAID Log'!$1:$1,0)),"")))</f>
        <v/>
      </c>
      <c r="N8" s="33" t="str">
        <f>IF($B8="","",IF(IFERROR(INDEX('RAID Log'!$1:$1048576,$B8,MATCH("Date Raised",'RAID Log'!$1:$1,0)),"")="","",IFERROR(INDEX('RAID Log'!$1:$1048576,$B8,MATCH("Date Raised",'RAID Log'!$1:$1,0)),"")))</f>
        <v/>
      </c>
      <c r="O8" s="33" t="str">
        <f>IF($B8="","",IF(IFERROR(INDEX('RAID Log'!$1:$1048576,$B8,MATCH("Closed Date",'RAID Log'!$1:$1,0)),"")="","",IFERROR(INDEX('RAID Log'!$1:$1048576,$B8,MATCH("Closed Date",'RAID Log'!$1:$1,0)),"")))</f>
        <v/>
      </c>
      <c r="P8" s="31" t="str">
        <f>IF($B8="","",IF(IFERROR(INDEX('RAID Log'!$1:$1048576,$B8,MATCH("Mitigation Strategy",'RAID Log'!$1:$1,0)),"")="","",IFERROR(INDEX('RAID Log'!$1:$1048576,$B8,MATCH("Mitigation Strategy",'RAID Log'!$1:$1,0)),"")))</f>
        <v/>
      </c>
      <c r="Q8" s="34" t="str">
        <f>IF($B8="","",IF(IFERROR(INDEX('RAID Log'!$1:$1048576,$B8,MATCH("RAID Response/Plan",'RAID Log'!$1:$1,0)),"")="","",IFERROR(INDEX('RAID Log'!$1:$1048576,$B8,MATCH("RAID Response/Plan",'RAID Log'!$1:$1,0)),"")))</f>
        <v/>
      </c>
      <c r="AE8" s="3"/>
      <c r="AF8" s="3"/>
      <c r="AG8" s="3"/>
      <c r="AH8" s="1"/>
      <c r="AN8" s="3"/>
    </row>
    <row r="9" spans="1:40" ht="15" customHeight="1" thickTop="1" thickBot="1" x14ac:dyDescent="0.3">
      <c r="A9" s="28" t="str">
        <f>IF($B9="","",IF(IFERROR(INDEX('RAID Log'!$1:$1048576,$B9,MATCH("RAID ID",'RAID Log'!$1:$1,0)),"")="","",IFERROR(INDEX('RAID Log'!$1:$1048576,$B9,MATCH("RAID ID",'RAID Log'!$1:$1,0)),"")))</f>
        <v/>
      </c>
      <c r="B9" s="29" t="str">
        <f>IFERROR(MATCH(ROW()-1,'RAID Log'!$S:$S,0),"")</f>
        <v/>
      </c>
      <c r="C9" s="30" t="str">
        <f>IF($B9="","",IF(IFERROR(INDEX('RAID Log'!$1:$1048576,$B9,MATCH("Description",'RAID Log'!$1:$1,0)),"")="","",IFERROR(INDEX('RAID Log'!$1:$1048576,$B9,MATCH("Description",'RAID Log'!$1:$1,0)),"")))</f>
        <v/>
      </c>
      <c r="D9" s="30" t="str">
        <f>IF($B9="","",IF(IFERROR(INDEX('RAID Log'!$1:$1048576,$B9,MATCH("Impact/Effect of the RAID",'RAID Log'!$1:$1,0)),"")="","",IFERROR(INDEX('RAID Log'!$1:$1048576,$B9,MATCH("Impact/Effect of the RAID",'RAID Log'!$1:$1,0)),"")))</f>
        <v/>
      </c>
      <c r="E9" s="31" t="str">
        <f>IF($B9="","",IF(IFERROR(INDEX('RAID Log'!$1:$1048576,$B9,MATCH("Impact Area",'RAID Log'!$1:$1,0)),"")="","",IFERROR(INDEX('RAID Log'!$1:$1048576,$B9,MATCH("Impact Area",'RAID Log'!$1:$1,0)),"")))</f>
        <v/>
      </c>
      <c r="F9" s="31" t="str">
        <f>IF($B9="","",IF(IFERROR(INDEX('RAID Log'!$1:$1048576,$B9,MATCH("Impact Area",'RAID Log'!$1:$1,0)),"")="","",IFERROR(INDEX('RAID Log'!$1:$1048576,$B9,MATCH("Impact Area",'RAID Log'!$1:$1,0)),"")))</f>
        <v/>
      </c>
      <c r="G9" s="31" t="str">
        <f>IF($B9="","",IF(IFERROR(INDEX('RAID Log'!$1:$1048576,$B9,MATCH("Impact Rating",'RAID Log'!$1:$1,0)),"")="","",IFERROR(INDEX('RAID Log'!$1:$1048576,$B9,MATCH("Impact Rating",'RAID Log'!$1:$1,0)),"")))</f>
        <v/>
      </c>
      <c r="H9" s="31" t="str">
        <f>IF($B9="","",IF(IFERROR(INDEX('RAID Log'!$1:$1048576,$B9,MATCH("Initial Probability",'RAID Log'!$1:$1,0)),"")="","",IFERROR(INDEX('RAID Log'!$1:$1048576,$B9,MATCH("Initial Probability",'RAID Log'!$1:$1,0)),"")))</f>
        <v/>
      </c>
      <c r="I9" s="32" t="str">
        <f t="shared" si="0"/>
        <v/>
      </c>
      <c r="J9" s="31" t="str">
        <f t="shared" si="1"/>
        <v/>
      </c>
      <c r="K9" s="32" t="str">
        <f t="shared" si="2"/>
        <v/>
      </c>
      <c r="L9" s="31" t="str">
        <f>IF($B9="","",IF(IFERROR(INDEX('RAID Log'!$1:$1048576,$B9,MATCH("Status",'RAID Log'!$1:$1,0)),"")="","",IFERROR(INDEX('RAID Log'!$1:$1048576,$B9,MATCH("Status",'RAID Log'!$1:$1,0)),"")))</f>
        <v/>
      </c>
      <c r="M9" s="31" t="str">
        <f>IF($B9="","",IF(IFERROR(INDEX('RAID Log'!$1:$1048576,$B9,MATCH("RAID Owner",'RAID Log'!$1:$1,0)),"")="","",IFERROR(INDEX('RAID Log'!$1:$1048576,$B9,MATCH("RAID Owner",'RAID Log'!$1:$1,0)),"")))</f>
        <v/>
      </c>
      <c r="N9" s="33" t="str">
        <f>IF($B9="","",IF(IFERROR(INDEX('RAID Log'!$1:$1048576,$B9,MATCH("Date Raised",'RAID Log'!$1:$1,0)),"")="","",IFERROR(INDEX('RAID Log'!$1:$1048576,$B9,MATCH("Date Raised",'RAID Log'!$1:$1,0)),"")))</f>
        <v/>
      </c>
      <c r="O9" s="33" t="str">
        <f>IF($B9="","",IF(IFERROR(INDEX('RAID Log'!$1:$1048576,$B9,MATCH("Closed Date",'RAID Log'!$1:$1,0)),"")="","",IFERROR(INDEX('RAID Log'!$1:$1048576,$B9,MATCH("Closed Date",'RAID Log'!$1:$1,0)),"")))</f>
        <v/>
      </c>
      <c r="P9" s="31" t="str">
        <f>IF($B9="","",IF(IFERROR(INDEX('RAID Log'!$1:$1048576,$B9,MATCH("Mitigation Strategy",'RAID Log'!$1:$1,0)),"")="","",IFERROR(INDEX('RAID Log'!$1:$1048576,$B9,MATCH("Mitigation Strategy",'RAID Log'!$1:$1,0)),"")))</f>
        <v/>
      </c>
      <c r="Q9" s="34" t="str">
        <f>IF($B9="","",IF(IFERROR(INDEX('RAID Log'!$1:$1048576,$B9,MATCH("RAID Response/Plan",'RAID Log'!$1:$1,0)),"")="","",IFERROR(INDEX('RAID Log'!$1:$1048576,$B9,MATCH("RAID Response/Plan",'RAID Log'!$1:$1,0)),"")))</f>
        <v/>
      </c>
      <c r="U9" s="1"/>
      <c r="W9" s="1"/>
      <c r="AE9" s="3"/>
      <c r="AF9" s="3"/>
      <c r="AG9" s="3"/>
      <c r="AH9" s="1"/>
      <c r="AN9" s="3"/>
    </row>
    <row r="10" spans="1:40" ht="15" customHeight="1" thickTop="1" thickBot="1" x14ac:dyDescent="0.3">
      <c r="A10" s="28" t="str">
        <f>IF($B10="","",IF(IFERROR(INDEX('RAID Log'!$1:$1048576,$B10,MATCH("RAID ID",'RAID Log'!$1:$1,0)),"")="","",IFERROR(INDEX('RAID Log'!$1:$1048576,$B10,MATCH("RAID ID",'RAID Log'!$1:$1,0)),"")))</f>
        <v/>
      </c>
      <c r="B10" s="29" t="str">
        <f>IFERROR(MATCH(ROW()-1,'RAID Log'!$S:$S,0),"")</f>
        <v/>
      </c>
      <c r="C10" s="30" t="str">
        <f>IF($B10="","",IF(IFERROR(INDEX('RAID Log'!$1:$1048576,$B10,MATCH("Description",'RAID Log'!$1:$1,0)),"")="","",IFERROR(INDEX('RAID Log'!$1:$1048576,$B10,MATCH("Description",'RAID Log'!$1:$1,0)),"")))</f>
        <v/>
      </c>
      <c r="D10" s="30" t="str">
        <f>IF($B10="","",IF(IFERROR(INDEX('RAID Log'!$1:$1048576,$B10,MATCH("Impact/Effect of the RAID",'RAID Log'!$1:$1,0)),"")="","",IFERROR(INDEX('RAID Log'!$1:$1048576,$B10,MATCH("Impact/Effect of the RAID",'RAID Log'!$1:$1,0)),"")))</f>
        <v/>
      </c>
      <c r="E10" s="31" t="str">
        <f>IF($B10="","",IF(IFERROR(INDEX('RAID Log'!$1:$1048576,$B10,MATCH("Impact Area",'RAID Log'!$1:$1,0)),"")="","",IFERROR(INDEX('RAID Log'!$1:$1048576,$B10,MATCH("Impact Area",'RAID Log'!$1:$1,0)),"")))</f>
        <v/>
      </c>
      <c r="F10" s="31" t="str">
        <f>IF($B10="","",IF(IFERROR(INDEX('RAID Log'!$1:$1048576,$B10,MATCH("Impact Area",'RAID Log'!$1:$1,0)),"")="","",IFERROR(INDEX('RAID Log'!$1:$1048576,$B10,MATCH("Impact Area",'RAID Log'!$1:$1,0)),"")))</f>
        <v/>
      </c>
      <c r="G10" s="31" t="str">
        <f>IF($B10="","",IF(IFERROR(INDEX('RAID Log'!$1:$1048576,$B10,MATCH("Impact Rating",'RAID Log'!$1:$1,0)),"")="","",IFERROR(INDEX('RAID Log'!$1:$1048576,$B10,MATCH("Impact Rating",'RAID Log'!$1:$1,0)),"")))</f>
        <v/>
      </c>
      <c r="H10" s="31" t="str">
        <f>IF($B10="","",IF(IFERROR(INDEX('RAID Log'!$1:$1048576,$B10,MATCH("Initial Probability",'RAID Log'!$1:$1,0)),"")="","",IFERROR(INDEX('RAID Log'!$1:$1048576,$B10,MATCH("Initial Probability",'RAID Log'!$1:$1,0)),"")))</f>
        <v/>
      </c>
      <c r="I10" s="32" t="str">
        <f t="shared" si="0"/>
        <v/>
      </c>
      <c r="J10" s="31" t="str">
        <f t="shared" si="1"/>
        <v/>
      </c>
      <c r="K10" s="32" t="str">
        <f t="shared" si="2"/>
        <v/>
      </c>
      <c r="L10" s="31" t="str">
        <f>IF($B10="","",IF(IFERROR(INDEX('RAID Log'!$1:$1048576,$B10,MATCH("Status",'RAID Log'!$1:$1,0)),"")="","",IFERROR(INDEX('RAID Log'!$1:$1048576,$B10,MATCH("Status",'RAID Log'!$1:$1,0)),"")))</f>
        <v/>
      </c>
      <c r="M10" s="31" t="str">
        <f>IF($B10="","",IF(IFERROR(INDEX('RAID Log'!$1:$1048576,$B10,MATCH("RAID Owner",'RAID Log'!$1:$1,0)),"")="","",IFERROR(INDEX('RAID Log'!$1:$1048576,$B10,MATCH("RAID Owner",'RAID Log'!$1:$1,0)),"")))</f>
        <v/>
      </c>
      <c r="N10" s="33" t="str">
        <f>IF($B10="","",IF(IFERROR(INDEX('RAID Log'!$1:$1048576,$B10,MATCH("Date Raised",'RAID Log'!$1:$1,0)),"")="","",IFERROR(INDEX('RAID Log'!$1:$1048576,$B10,MATCH("Date Raised",'RAID Log'!$1:$1,0)),"")))</f>
        <v/>
      </c>
      <c r="O10" s="33" t="str">
        <f>IF($B10="","",IF(IFERROR(INDEX('RAID Log'!$1:$1048576,$B10,MATCH("Closed Date",'RAID Log'!$1:$1,0)),"")="","",IFERROR(INDEX('RAID Log'!$1:$1048576,$B10,MATCH("Closed Date",'RAID Log'!$1:$1,0)),"")))</f>
        <v/>
      </c>
      <c r="P10" s="31" t="str">
        <f>IF($B10="","",IF(IFERROR(INDEX('RAID Log'!$1:$1048576,$B10,MATCH("Mitigation Strategy",'RAID Log'!$1:$1,0)),"")="","",IFERROR(INDEX('RAID Log'!$1:$1048576,$B10,MATCH("Mitigation Strategy",'RAID Log'!$1:$1,0)),"")))</f>
        <v/>
      </c>
      <c r="Q10" s="34" t="str">
        <f>IF($B10="","",IF(IFERROR(INDEX('RAID Log'!$1:$1048576,$B10,MATCH("RAID Response/Plan",'RAID Log'!$1:$1,0)),"")="","",IFERROR(INDEX('RAID Log'!$1:$1048576,$B10,MATCH("RAID Response/Plan",'RAID Log'!$1:$1,0)),"")))</f>
        <v/>
      </c>
      <c r="U10" s="1"/>
      <c r="W10" s="1"/>
      <c r="AE10" s="3"/>
      <c r="AF10" s="3"/>
      <c r="AG10" s="3"/>
      <c r="AH10" s="1"/>
      <c r="AN10" s="3"/>
    </row>
    <row r="11" spans="1:40" ht="27" customHeight="1" thickTop="1" thickBot="1" x14ac:dyDescent="0.3">
      <c r="A11" s="28" t="str">
        <f>IF($B11="","",IF(IFERROR(INDEX('RAID Log'!$1:$1048576,$B11,MATCH("RAID ID",'RAID Log'!$1:$1,0)),"")="","",IFERROR(INDEX('RAID Log'!$1:$1048576,$B11,MATCH("RAID ID",'RAID Log'!$1:$1,0)),"")))</f>
        <v/>
      </c>
      <c r="B11" s="29" t="str">
        <f>IFERROR(MATCH(ROW()-1,'RAID Log'!$S:$S,0),"")</f>
        <v/>
      </c>
      <c r="C11" s="30" t="str">
        <f>IF($B11="","",IF(IFERROR(INDEX('RAID Log'!$1:$1048576,$B11,MATCH("Description",'RAID Log'!$1:$1,0)),"")="","",IFERROR(INDEX('RAID Log'!$1:$1048576,$B11,MATCH("Description",'RAID Log'!$1:$1,0)),"")))</f>
        <v/>
      </c>
      <c r="D11" s="30" t="str">
        <f>IF($B11="","",IF(IFERROR(INDEX('RAID Log'!$1:$1048576,$B11,MATCH("Impact/Effect of the RAID",'RAID Log'!$1:$1,0)),"")="","",IFERROR(INDEX('RAID Log'!$1:$1048576,$B11,MATCH("Impact/Effect of the RAID",'RAID Log'!$1:$1,0)),"")))</f>
        <v/>
      </c>
      <c r="E11" s="31" t="str">
        <f>IF($B11="","",IF(IFERROR(INDEX('RAID Log'!$1:$1048576,$B11,MATCH("Impact Area",'RAID Log'!$1:$1,0)),"")="","",IFERROR(INDEX('RAID Log'!$1:$1048576,$B11,MATCH("Impact Area",'RAID Log'!$1:$1,0)),"")))</f>
        <v/>
      </c>
      <c r="F11" s="31" t="str">
        <f>IF($B11="","",IF(IFERROR(INDEX('RAID Log'!$1:$1048576,$B11,MATCH("Impact Area",'RAID Log'!$1:$1,0)),"")="","",IFERROR(INDEX('RAID Log'!$1:$1048576,$B11,MATCH("Impact Area",'RAID Log'!$1:$1,0)),"")))</f>
        <v/>
      </c>
      <c r="G11" s="31" t="str">
        <f>IF($B11="","",IF(IFERROR(INDEX('RAID Log'!$1:$1048576,$B11,MATCH("Impact Rating",'RAID Log'!$1:$1,0)),"")="","",IFERROR(INDEX('RAID Log'!$1:$1048576,$B11,MATCH("Impact Rating",'RAID Log'!$1:$1,0)),"")))</f>
        <v/>
      </c>
      <c r="H11" s="31" t="str">
        <f>IF($B11="","",IF(IFERROR(INDEX('RAID Log'!$1:$1048576,$B11,MATCH("Initial Probability",'RAID Log'!$1:$1,0)),"")="","",IFERROR(INDEX('RAID Log'!$1:$1048576,$B11,MATCH("Initial Probability",'RAID Log'!$1:$1,0)),"")))</f>
        <v/>
      </c>
      <c r="I11" s="32" t="str">
        <f t="shared" si="0"/>
        <v/>
      </c>
      <c r="J11" s="31" t="str">
        <f t="shared" si="1"/>
        <v/>
      </c>
      <c r="K11" s="32" t="str">
        <f t="shared" si="2"/>
        <v/>
      </c>
      <c r="L11" s="31" t="str">
        <f>IF($B11="","",IF(IFERROR(INDEX('RAID Log'!$1:$1048576,$B11,MATCH("Status",'RAID Log'!$1:$1,0)),"")="","",IFERROR(INDEX('RAID Log'!$1:$1048576,$B11,MATCH("Status",'RAID Log'!$1:$1,0)),"")))</f>
        <v/>
      </c>
      <c r="M11" s="31" t="str">
        <f>IF($B11="","",IF(IFERROR(INDEX('RAID Log'!$1:$1048576,$B11,MATCH("RAID Owner",'RAID Log'!$1:$1,0)),"")="","",IFERROR(INDEX('RAID Log'!$1:$1048576,$B11,MATCH("RAID Owner",'RAID Log'!$1:$1,0)),"")))</f>
        <v/>
      </c>
      <c r="N11" s="33" t="str">
        <f>IF($B11="","",IF(IFERROR(INDEX('RAID Log'!$1:$1048576,$B11,MATCH("Date Raised",'RAID Log'!$1:$1,0)),"")="","",IFERROR(INDEX('RAID Log'!$1:$1048576,$B11,MATCH("Date Raised",'RAID Log'!$1:$1,0)),"")))</f>
        <v/>
      </c>
      <c r="O11" s="33" t="str">
        <f>IF($B11="","",IF(IFERROR(INDEX('RAID Log'!$1:$1048576,$B11,MATCH("Closed Date",'RAID Log'!$1:$1,0)),"")="","",IFERROR(INDEX('RAID Log'!$1:$1048576,$B11,MATCH("Closed Date",'RAID Log'!$1:$1,0)),"")))</f>
        <v/>
      </c>
      <c r="P11" s="31" t="str">
        <f>IF($B11="","",IF(IFERROR(INDEX('RAID Log'!$1:$1048576,$B11,MATCH("Mitigation Strategy",'RAID Log'!$1:$1,0)),"")="","",IFERROR(INDEX('RAID Log'!$1:$1048576,$B11,MATCH("Mitigation Strategy",'RAID Log'!$1:$1,0)),"")))</f>
        <v/>
      </c>
      <c r="Q11" s="34" t="str">
        <f>IF($B11="","",IF(IFERROR(INDEX('RAID Log'!$1:$1048576,$B11,MATCH("RAID Response/Plan",'RAID Log'!$1:$1,0)),"")="","",IFERROR(INDEX('RAID Log'!$1:$1048576,$B11,MATCH("RAID Response/Plan",'RAID Log'!$1:$1,0)),"")))</f>
        <v/>
      </c>
      <c r="U11" s="1"/>
      <c r="W11" s="1"/>
      <c r="AE11" s="35"/>
      <c r="AF11" s="3"/>
      <c r="AG11" s="3"/>
      <c r="AH11" s="3"/>
      <c r="AI11" s="3"/>
      <c r="AJ11" s="3"/>
      <c r="AK11" s="3"/>
      <c r="AL11" s="3"/>
      <c r="AM11" s="3"/>
      <c r="AN11" s="3"/>
    </row>
    <row r="12" spans="1:40" ht="66.75" customHeight="1" thickTop="1" thickBot="1" x14ac:dyDescent="0.3">
      <c r="A12" s="28" t="str">
        <f>IF($B12="","",IF(IFERROR(INDEX('RAID Log'!$1:$1048576,$B12,MATCH("RAID ID",'RAID Log'!$1:$1,0)),"")="","",IFERROR(INDEX('RAID Log'!$1:$1048576,$B12,MATCH("RAID ID",'RAID Log'!$1:$1,0)),"")))</f>
        <v/>
      </c>
      <c r="B12" s="29" t="str">
        <f>IFERROR(MATCH(ROW()-1,'RAID Log'!$S:$S,0),"")</f>
        <v/>
      </c>
      <c r="C12" s="30" t="str">
        <f>IF($B12="","",IF(IFERROR(INDEX('RAID Log'!$1:$1048576,$B12,MATCH("Description",'RAID Log'!$1:$1,0)),"")="","",IFERROR(INDEX('RAID Log'!$1:$1048576,$B12,MATCH("Description",'RAID Log'!$1:$1,0)),"")))</f>
        <v/>
      </c>
      <c r="D12" s="30" t="str">
        <f>IF($B12="","",IF(IFERROR(INDEX('RAID Log'!$1:$1048576,$B12,MATCH("Impact/Effect of the RAID",'RAID Log'!$1:$1,0)),"")="","",IFERROR(INDEX('RAID Log'!$1:$1048576,$B12,MATCH("Impact/Effect of the RAID",'RAID Log'!$1:$1,0)),"")))</f>
        <v/>
      </c>
      <c r="E12" s="31" t="str">
        <f>IF($B12="","",IF(IFERROR(INDEX('RAID Log'!$1:$1048576,$B12,MATCH("Impact Area",'RAID Log'!$1:$1,0)),"")="","",IFERROR(INDEX('RAID Log'!$1:$1048576,$B12,MATCH("Impact Area",'RAID Log'!$1:$1,0)),"")))</f>
        <v/>
      </c>
      <c r="F12" s="31" t="str">
        <f>IF($B12="","",IF(IFERROR(INDEX('RAID Log'!$1:$1048576,$B12,MATCH("Impact Area",'RAID Log'!$1:$1,0)),"")="","",IFERROR(INDEX('RAID Log'!$1:$1048576,$B12,MATCH("Impact Area",'RAID Log'!$1:$1,0)),"")))</f>
        <v/>
      </c>
      <c r="G12" s="31" t="str">
        <f>IF($B12="","",IF(IFERROR(INDEX('RAID Log'!$1:$1048576,$B12,MATCH("Impact Rating",'RAID Log'!$1:$1,0)),"")="","",IFERROR(INDEX('RAID Log'!$1:$1048576,$B12,MATCH("Impact Rating",'RAID Log'!$1:$1,0)),"")))</f>
        <v/>
      </c>
      <c r="H12" s="31" t="str">
        <f>IF($B12="","",IF(IFERROR(INDEX('RAID Log'!$1:$1048576,$B12,MATCH("Initial Probability",'RAID Log'!$1:$1,0)),"")="","",IFERROR(INDEX('RAID Log'!$1:$1048576,$B12,MATCH("Initial Probability",'RAID Log'!$1:$1,0)),"")))</f>
        <v/>
      </c>
      <c r="I12" s="32" t="str">
        <f t="shared" si="0"/>
        <v/>
      </c>
      <c r="J12" s="31" t="str">
        <f t="shared" si="1"/>
        <v/>
      </c>
      <c r="K12" s="32" t="str">
        <f t="shared" si="2"/>
        <v/>
      </c>
      <c r="L12" s="31" t="str">
        <f>IF($B12="","",IF(IFERROR(INDEX('RAID Log'!$1:$1048576,$B12,MATCH("Status",'RAID Log'!$1:$1,0)),"")="","",IFERROR(INDEX('RAID Log'!$1:$1048576,$B12,MATCH("Status",'RAID Log'!$1:$1,0)),"")))</f>
        <v/>
      </c>
      <c r="M12" s="31" t="str">
        <f>IF($B12="","",IF(IFERROR(INDEX('RAID Log'!$1:$1048576,$B12,MATCH("RAID Owner",'RAID Log'!$1:$1,0)),"")="","",IFERROR(INDEX('RAID Log'!$1:$1048576,$B12,MATCH("RAID Owner",'RAID Log'!$1:$1,0)),"")))</f>
        <v/>
      </c>
      <c r="N12" s="33" t="str">
        <f>IF($B12="","",IF(IFERROR(INDEX('RAID Log'!$1:$1048576,$B12,MATCH("Date Raised",'RAID Log'!$1:$1,0)),"")="","",IFERROR(INDEX('RAID Log'!$1:$1048576,$B12,MATCH("Date Raised",'RAID Log'!$1:$1,0)),"")))</f>
        <v/>
      </c>
      <c r="O12" s="33" t="str">
        <f>IF($B12="","",IF(IFERROR(INDEX('RAID Log'!$1:$1048576,$B12,MATCH("Closed Date",'RAID Log'!$1:$1,0)),"")="","",IFERROR(INDEX('RAID Log'!$1:$1048576,$B12,MATCH("Closed Date",'RAID Log'!$1:$1,0)),"")))</f>
        <v/>
      </c>
      <c r="P12" s="31" t="str">
        <f>IF($B12="","",IF(IFERROR(INDEX('RAID Log'!$1:$1048576,$B12,MATCH("Mitigation Strategy",'RAID Log'!$1:$1,0)),"")="","",IFERROR(INDEX('RAID Log'!$1:$1048576,$B12,MATCH("Mitigation Strategy",'RAID Log'!$1:$1,0)),"")))</f>
        <v/>
      </c>
      <c r="Q12" s="34" t="str">
        <f>IF($B12="","",IF(IFERROR(INDEX('RAID Log'!$1:$1048576,$B12,MATCH("RAID Response/Plan",'RAID Log'!$1:$1,0)),"")="","",IFERROR(INDEX('RAID Log'!$1:$1048576,$B12,MATCH("RAID Response/Plan",'RAID Log'!$1:$1,0)),"")))</f>
        <v/>
      </c>
      <c r="W12" s="1"/>
      <c r="AE12" s="3"/>
      <c r="AF12" s="3"/>
      <c r="AG12" s="3"/>
      <c r="AH12" s="3"/>
      <c r="AI12" s="3"/>
      <c r="AJ12" s="3"/>
      <c r="AK12" s="3"/>
      <c r="AL12" s="3"/>
      <c r="AM12" s="3"/>
      <c r="AN12" s="3"/>
    </row>
    <row r="13" spans="1:40" ht="27" customHeight="1" thickTop="1" thickBot="1" x14ac:dyDescent="0.3">
      <c r="A13" s="28" t="str">
        <f>IF($B13="","",IF(IFERROR(INDEX('RAID Log'!$1:$1048576,$B13,MATCH("RAID ID",'RAID Log'!$1:$1,0)),"")="","",IFERROR(INDEX('RAID Log'!$1:$1048576,$B13,MATCH("RAID ID",'RAID Log'!$1:$1,0)),"")))</f>
        <v/>
      </c>
      <c r="B13" s="29" t="str">
        <f>IFERROR(MATCH(ROW()-1,'RAID Log'!$S:$S,0),"")</f>
        <v/>
      </c>
      <c r="C13" s="30" t="str">
        <f>IF($B13="","",IF(IFERROR(INDEX('RAID Log'!$1:$1048576,$B13,MATCH("Description",'RAID Log'!$1:$1,0)),"")="","",IFERROR(INDEX('RAID Log'!$1:$1048576,$B13,MATCH("Description",'RAID Log'!$1:$1,0)),"")))</f>
        <v/>
      </c>
      <c r="D13" s="30" t="str">
        <f>IF($B13="","",IF(IFERROR(INDEX('RAID Log'!$1:$1048576,$B13,MATCH("Impact/Effect of the RAID",'RAID Log'!$1:$1,0)),"")="","",IFERROR(INDEX('RAID Log'!$1:$1048576,$B13,MATCH("Impact/Effect of the RAID",'RAID Log'!$1:$1,0)),"")))</f>
        <v/>
      </c>
      <c r="E13" s="31" t="str">
        <f>IF($B13="","",IF(IFERROR(INDEX('RAID Log'!$1:$1048576,$B13,MATCH("Impact Area",'RAID Log'!$1:$1,0)),"")="","",IFERROR(INDEX('RAID Log'!$1:$1048576,$B13,MATCH("Impact Area",'RAID Log'!$1:$1,0)),"")))</f>
        <v/>
      </c>
      <c r="F13" s="31" t="str">
        <f>IF($B13="","",IF(IFERROR(INDEX('RAID Log'!$1:$1048576,$B13,MATCH("Impact Area",'RAID Log'!$1:$1,0)),"")="","",IFERROR(INDEX('RAID Log'!$1:$1048576,$B13,MATCH("Impact Area",'RAID Log'!$1:$1,0)),"")))</f>
        <v/>
      </c>
      <c r="G13" s="31" t="str">
        <f>IF($B13="","",IF(IFERROR(INDEX('RAID Log'!$1:$1048576,$B13,MATCH("Impact Rating",'RAID Log'!$1:$1,0)),"")="","",IFERROR(INDEX('RAID Log'!$1:$1048576,$B13,MATCH("Impact Rating",'RAID Log'!$1:$1,0)),"")))</f>
        <v/>
      </c>
      <c r="H13" s="31" t="str">
        <f>IF($B13="","",IF(IFERROR(INDEX('RAID Log'!$1:$1048576,$B13,MATCH("Initial Probability",'RAID Log'!$1:$1,0)),"")="","",IFERROR(INDEX('RAID Log'!$1:$1048576,$B13,MATCH("Initial Probability",'RAID Log'!$1:$1,0)),"")))</f>
        <v/>
      </c>
      <c r="I13" s="32" t="str">
        <f t="shared" si="0"/>
        <v/>
      </c>
      <c r="J13" s="31" t="str">
        <f t="shared" si="1"/>
        <v/>
      </c>
      <c r="K13" s="32" t="str">
        <f t="shared" si="2"/>
        <v/>
      </c>
      <c r="L13" s="31" t="str">
        <f>IF($B13="","",IF(IFERROR(INDEX('RAID Log'!$1:$1048576,$B13,MATCH("Status",'RAID Log'!$1:$1,0)),"")="","",IFERROR(INDEX('RAID Log'!$1:$1048576,$B13,MATCH("Status",'RAID Log'!$1:$1,0)),"")))</f>
        <v/>
      </c>
      <c r="M13" s="31" t="str">
        <f>IF($B13="","",IF(IFERROR(INDEX('RAID Log'!$1:$1048576,$B13,MATCH("RAID Owner",'RAID Log'!$1:$1,0)),"")="","",IFERROR(INDEX('RAID Log'!$1:$1048576,$B13,MATCH("RAID Owner",'RAID Log'!$1:$1,0)),"")))</f>
        <v/>
      </c>
      <c r="N13" s="33" t="str">
        <f>IF($B13="","",IF(IFERROR(INDEX('RAID Log'!$1:$1048576,$B13,MATCH("Date Raised",'RAID Log'!$1:$1,0)),"")="","",IFERROR(INDEX('RAID Log'!$1:$1048576,$B13,MATCH("Date Raised",'RAID Log'!$1:$1,0)),"")))</f>
        <v/>
      </c>
      <c r="O13" s="33" t="str">
        <f>IF($B13="","",IF(IFERROR(INDEX('RAID Log'!$1:$1048576,$B13,MATCH("Closed Date",'RAID Log'!$1:$1,0)),"")="","",IFERROR(INDEX('RAID Log'!$1:$1048576,$B13,MATCH("Closed Date",'RAID Log'!$1:$1,0)),"")))</f>
        <v/>
      </c>
      <c r="P13" s="31" t="str">
        <f>IF($B13="","",IF(IFERROR(INDEX('RAID Log'!$1:$1048576,$B13,MATCH("Mitigation Strategy",'RAID Log'!$1:$1,0)),"")="","",IFERROR(INDEX('RAID Log'!$1:$1048576,$B13,MATCH("Mitigation Strategy",'RAID Log'!$1:$1,0)),"")))</f>
        <v/>
      </c>
      <c r="Q13" s="34" t="str">
        <f>IF($B13="","",IF(IFERROR(INDEX('RAID Log'!$1:$1048576,$B13,MATCH("RAID Response/Plan",'RAID Log'!$1:$1,0)),"")="","",IFERROR(INDEX('RAID Log'!$1:$1048576,$B13,MATCH("RAID Response/Plan",'RAID Log'!$1:$1,0)),"")))</f>
        <v/>
      </c>
      <c r="W13" s="1"/>
      <c r="AE13" s="3"/>
      <c r="AF13" s="3"/>
    </row>
    <row r="14" spans="1:40" ht="40.5" customHeight="1" thickTop="1" thickBot="1" x14ac:dyDescent="0.3">
      <c r="A14" s="28" t="str">
        <f>IF($B14="","",IF(IFERROR(INDEX('RAID Log'!$1:$1048576,$B14,MATCH("RAID ID",'RAID Log'!$1:$1,0)),"")="","",IFERROR(INDEX('RAID Log'!$1:$1048576,$B14,MATCH("RAID ID",'RAID Log'!$1:$1,0)),"")))</f>
        <v/>
      </c>
      <c r="B14" s="29" t="str">
        <f>IFERROR(MATCH(ROW()-1,'RAID Log'!$S:$S,0),"")</f>
        <v/>
      </c>
      <c r="C14" s="30" t="str">
        <f>IF($B14="","",IF(IFERROR(INDEX('RAID Log'!$1:$1048576,$B14,MATCH("Description",'RAID Log'!$1:$1,0)),"")="","",IFERROR(INDEX('RAID Log'!$1:$1048576,$B14,MATCH("Description",'RAID Log'!$1:$1,0)),"")))</f>
        <v/>
      </c>
      <c r="D14" s="30" t="str">
        <f>IF($B14="","",IF(IFERROR(INDEX('RAID Log'!$1:$1048576,$B14,MATCH("Impact/Effect of the RAID",'RAID Log'!$1:$1,0)),"")="","",IFERROR(INDEX('RAID Log'!$1:$1048576,$B14,MATCH("Impact/Effect of the RAID",'RAID Log'!$1:$1,0)),"")))</f>
        <v/>
      </c>
      <c r="E14" s="31" t="str">
        <f>IF($B14="","",IF(IFERROR(INDEX('RAID Log'!$1:$1048576,$B14,MATCH("Impact Area",'RAID Log'!$1:$1,0)),"")="","",IFERROR(INDEX('RAID Log'!$1:$1048576,$B14,MATCH("Impact Area",'RAID Log'!$1:$1,0)),"")))</f>
        <v/>
      </c>
      <c r="F14" s="31" t="str">
        <f>IF($B14="","",IF(IFERROR(INDEX('RAID Log'!$1:$1048576,$B14,MATCH("Impact Area",'RAID Log'!$1:$1,0)),"")="","",IFERROR(INDEX('RAID Log'!$1:$1048576,$B14,MATCH("Impact Area",'RAID Log'!$1:$1,0)),"")))</f>
        <v/>
      </c>
      <c r="G14" s="31" t="str">
        <f>IF($B14="","",IF(IFERROR(INDEX('RAID Log'!$1:$1048576,$B14,MATCH("Impact Rating",'RAID Log'!$1:$1,0)),"")="","",IFERROR(INDEX('RAID Log'!$1:$1048576,$B14,MATCH("Impact Rating",'RAID Log'!$1:$1,0)),"")))</f>
        <v/>
      </c>
      <c r="H14" s="31" t="str">
        <f>IF($B14="","",IF(IFERROR(INDEX('RAID Log'!$1:$1048576,$B14,MATCH("Initial Probability",'RAID Log'!$1:$1,0)),"")="","",IFERROR(INDEX('RAID Log'!$1:$1048576,$B14,MATCH("Initial Probability",'RAID Log'!$1:$1,0)),"")))</f>
        <v/>
      </c>
      <c r="I14" s="32" t="str">
        <f t="shared" si="0"/>
        <v/>
      </c>
      <c r="J14" s="31" t="str">
        <f t="shared" si="1"/>
        <v/>
      </c>
      <c r="K14" s="32" t="str">
        <f t="shared" si="2"/>
        <v/>
      </c>
      <c r="L14" s="31" t="str">
        <f>IF($B14="","",IF(IFERROR(INDEX('RAID Log'!$1:$1048576,$B14,MATCH("Status",'RAID Log'!$1:$1,0)),"")="","",IFERROR(INDEX('RAID Log'!$1:$1048576,$B14,MATCH("Status",'RAID Log'!$1:$1,0)),"")))</f>
        <v/>
      </c>
      <c r="M14" s="31" t="str">
        <f>IF($B14="","",IF(IFERROR(INDEX('RAID Log'!$1:$1048576,$B14,MATCH("RAID Owner",'RAID Log'!$1:$1,0)),"")="","",IFERROR(INDEX('RAID Log'!$1:$1048576,$B14,MATCH("RAID Owner",'RAID Log'!$1:$1,0)),"")))</f>
        <v/>
      </c>
      <c r="N14" s="33" t="str">
        <f>IF($B14="","",IF(IFERROR(INDEX('RAID Log'!$1:$1048576,$B14,MATCH("Date Raised",'RAID Log'!$1:$1,0)),"")="","",IFERROR(INDEX('RAID Log'!$1:$1048576,$B14,MATCH("Date Raised",'RAID Log'!$1:$1,0)),"")))</f>
        <v/>
      </c>
      <c r="O14" s="33" t="str">
        <f>IF($B14="","",IF(IFERROR(INDEX('RAID Log'!$1:$1048576,$B14,MATCH("Closed Date",'RAID Log'!$1:$1,0)),"")="","",IFERROR(INDEX('RAID Log'!$1:$1048576,$B14,MATCH("Closed Date",'RAID Log'!$1:$1,0)),"")))</f>
        <v/>
      </c>
      <c r="P14" s="31" t="str">
        <f>IF($B14="","",IF(IFERROR(INDEX('RAID Log'!$1:$1048576,$B14,MATCH("Mitigation Strategy",'RAID Log'!$1:$1,0)),"")="","",IFERROR(INDEX('RAID Log'!$1:$1048576,$B14,MATCH("Mitigation Strategy",'RAID Log'!$1:$1,0)),"")))</f>
        <v/>
      </c>
      <c r="Q14" s="34" t="str">
        <f>IF($B14="","",IF(IFERROR(INDEX('RAID Log'!$1:$1048576,$B14,MATCH("RAID Response/Plan",'RAID Log'!$1:$1,0)),"")="","",IFERROR(INDEX('RAID Log'!$1:$1048576,$B14,MATCH("RAID Response/Plan",'RAID Log'!$1:$1,0)),"")))</f>
        <v/>
      </c>
      <c r="U14" s="1"/>
      <c r="V14" s="1"/>
      <c r="W14" s="1"/>
      <c r="X14" s="1"/>
      <c r="Y14" s="1"/>
      <c r="Z14" s="1"/>
      <c r="AA14" s="1"/>
      <c r="AE14" s="3"/>
      <c r="AF14" s="36"/>
      <c r="AG14" s="1"/>
      <c r="AH14" s="1"/>
      <c r="AI14" s="1"/>
      <c r="AJ14" s="1"/>
      <c r="AK14" s="1"/>
      <c r="AL14" s="1"/>
      <c r="AM14" s="1"/>
      <c r="AN14" s="1"/>
    </row>
    <row r="15" spans="1:40" ht="15" customHeight="1" thickTop="1" thickBot="1" x14ac:dyDescent="0.3">
      <c r="A15" s="28" t="str">
        <f>IF($B15="","",IF(IFERROR(INDEX('RAID Log'!$1:$1048576,$B15,MATCH("RAID ID",'RAID Log'!$1:$1,0)),"")="","",IFERROR(INDEX('RAID Log'!$1:$1048576,$B15,MATCH("RAID ID",'RAID Log'!$1:$1,0)),"")))</f>
        <v/>
      </c>
      <c r="B15" s="29" t="str">
        <f>IFERROR(MATCH(ROW()-1,'RAID Log'!$S:$S,0),"")</f>
        <v/>
      </c>
      <c r="C15" s="31" t="str">
        <f>IF($B15="","",IF(IFERROR(INDEX('RAID Log'!$1:$1048576,$B15,MATCH("Description",'RAID Log'!$1:$1,0)),"")="","",IFERROR(INDEX('RAID Log'!$1:$1048576,$B15,MATCH("Description",'RAID Log'!$1:$1,0)),"")))</f>
        <v/>
      </c>
      <c r="D15" s="31" t="str">
        <f>IF($B15="","",IF(IFERROR(INDEX('RAID Log'!$1:$1048576,$B15,MATCH("Impact/Effect of the RAID",'RAID Log'!$1:$1,0)),"")="","",IFERROR(INDEX('RAID Log'!$1:$1048576,$B15,MATCH("Impact/Effect of the RAID",'RAID Log'!$1:$1,0)),"")))</f>
        <v/>
      </c>
      <c r="E15" s="31" t="str">
        <f>IF($B15="","",IF(IFERROR(INDEX('RAID Log'!$1:$1048576,$B15,MATCH("Impact Area",'RAID Log'!$1:$1,0)),"")="","",IFERROR(INDEX('RAID Log'!$1:$1048576,$B15,MATCH("Impact Area",'RAID Log'!$1:$1,0)),"")))</f>
        <v/>
      </c>
      <c r="F15" s="31" t="str">
        <f>IF($B15="","",IF(IFERROR(INDEX('RAID Log'!$1:$1048576,$B15,MATCH("Impact Area",'RAID Log'!$1:$1,0)),"")="","",IFERROR(INDEX('RAID Log'!$1:$1048576,$B15,MATCH("Impact Area",'RAID Log'!$1:$1,0)),"")))</f>
        <v/>
      </c>
      <c r="G15" s="31" t="str">
        <f>IF($B15="","",IF(IFERROR(INDEX('RAID Log'!$1:$1048576,$B15,MATCH("Impact Rating",'RAID Log'!$1:$1,0)),"")="","",IFERROR(INDEX('RAID Log'!$1:$1048576,$B15,MATCH("Impact Rating",'RAID Log'!$1:$1,0)),"")))</f>
        <v/>
      </c>
      <c r="H15" s="31" t="str">
        <f>IF($B15="","",IF(IFERROR(INDEX('RAID Log'!$1:$1048576,$B15,MATCH("Initial Probability",'RAID Log'!$1:$1,0)),"")="","",IFERROR(INDEX('RAID Log'!$1:$1048576,$B15,MATCH("Initial Probability",'RAID Log'!$1:$1,0)),"")))</f>
        <v/>
      </c>
      <c r="I15" s="32" t="str">
        <f t="shared" si="0"/>
        <v/>
      </c>
      <c r="J15" s="31" t="str">
        <f t="shared" si="1"/>
        <v/>
      </c>
      <c r="K15" s="32" t="str">
        <f t="shared" si="2"/>
        <v/>
      </c>
      <c r="L15" s="31" t="str">
        <f>IF($B15="","",IF(IFERROR(INDEX('RAID Log'!$1:$1048576,$B15,MATCH("Status",'RAID Log'!$1:$1,0)),"")="","",IFERROR(INDEX('RAID Log'!$1:$1048576,$B15,MATCH("Status",'RAID Log'!$1:$1,0)),"")))</f>
        <v/>
      </c>
      <c r="M15" s="31" t="str">
        <f>IF($B15="","",IF(IFERROR(INDEX('RAID Log'!$1:$1048576,$B15,MATCH("RAID Owner",'RAID Log'!$1:$1,0)),"")="","",IFERROR(INDEX('RAID Log'!$1:$1048576,$B15,MATCH("RAID Owner",'RAID Log'!$1:$1,0)),"")))</f>
        <v/>
      </c>
      <c r="N15" s="33" t="str">
        <f>IF($B15="","",IF(IFERROR(INDEX('RAID Log'!$1:$1048576,$B15,MATCH("Date Raised",'RAID Log'!$1:$1,0)),"")="","",IFERROR(INDEX('RAID Log'!$1:$1048576,$B15,MATCH("Date Raised",'RAID Log'!$1:$1,0)),"")))</f>
        <v/>
      </c>
      <c r="O15" s="33" t="str">
        <f>IF($B15="","",IF(IFERROR(INDEX('RAID Log'!$1:$1048576,$B15,MATCH("Closed Date",'RAID Log'!$1:$1,0)),"")="","",IFERROR(INDEX('RAID Log'!$1:$1048576,$B15,MATCH("Closed Date",'RAID Log'!$1:$1,0)),"")))</f>
        <v/>
      </c>
      <c r="P15" s="31" t="str">
        <f>IF($B15="","",IF(IFERROR(INDEX('RAID Log'!$1:$1048576,$B15,MATCH("Mitigation Strategy",'RAID Log'!$1:$1,0)),"")="","",IFERROR(INDEX('RAID Log'!$1:$1048576,$B15,MATCH("Mitigation Strategy",'RAID Log'!$1:$1,0)),"")))</f>
        <v/>
      </c>
      <c r="Q15" s="34" t="str">
        <f>IF($B15="","",IF(IFERROR(INDEX('RAID Log'!$1:$1048576,$B15,MATCH("RAID Response/Plan",'RAID Log'!$1:$1,0)),"")="","",IFERROR(INDEX('RAID Log'!$1:$1048576,$B15,MATCH("RAID Response/Plan",'RAID Log'!$1:$1,0)),"")))</f>
        <v/>
      </c>
      <c r="U15" s="1"/>
      <c r="V15" s="1"/>
      <c r="W15" s="1"/>
      <c r="X15" s="1"/>
      <c r="Y15" s="1"/>
      <c r="Z15" s="1"/>
      <c r="AA15" s="1"/>
      <c r="AB15" s="1"/>
      <c r="AC15" s="1"/>
      <c r="AG15" s="1"/>
      <c r="AH15" s="1"/>
      <c r="AI15" s="1"/>
      <c r="AJ15" s="1"/>
      <c r="AL15" s="1"/>
      <c r="AM15" s="1"/>
      <c r="AN15" s="1"/>
    </row>
    <row r="16" spans="1:40" ht="15" customHeight="1" thickTop="1" thickBot="1" x14ac:dyDescent="0.3">
      <c r="A16" s="28" t="str">
        <f>IF($B16="","",IF(IFERROR(INDEX('RAID Log'!$1:$1048576,$B16,MATCH("RAID ID",'RAID Log'!$1:$1,0)),"")="","",IFERROR(INDEX('RAID Log'!$1:$1048576,$B16,MATCH("RAID ID",'RAID Log'!$1:$1,0)),"")))</f>
        <v/>
      </c>
      <c r="B16" s="29" t="str">
        <f>IFERROR(MATCH(ROW()-1,'RAID Log'!$S:$S,0),"")</f>
        <v/>
      </c>
      <c r="C16" s="31" t="str">
        <f>IF($B16="","",IF(IFERROR(INDEX('RAID Log'!$1:$1048576,$B16,MATCH("Description",'RAID Log'!$1:$1,0)),"")="","",IFERROR(INDEX('RAID Log'!$1:$1048576,$B16,MATCH("Description",'RAID Log'!$1:$1,0)),"")))</f>
        <v/>
      </c>
      <c r="D16" s="31" t="str">
        <f>IF($B16="","",IF(IFERROR(INDEX('RAID Log'!$1:$1048576,$B16,MATCH("Impact/Effect of the RAID",'RAID Log'!$1:$1,0)),"")="","",IFERROR(INDEX('RAID Log'!$1:$1048576,$B16,MATCH("Impact/Effect of the RAID",'RAID Log'!$1:$1,0)),"")))</f>
        <v/>
      </c>
      <c r="E16" s="31" t="str">
        <f>IF($B16="","",IF(IFERROR(INDEX('RAID Log'!$1:$1048576,$B16,MATCH("Impact Area",'RAID Log'!$1:$1,0)),"")="","",IFERROR(INDEX('RAID Log'!$1:$1048576,$B16,MATCH("Impact Area",'RAID Log'!$1:$1,0)),"")))</f>
        <v/>
      </c>
      <c r="F16" s="31" t="str">
        <f>IF($B16="","",IF(IFERROR(INDEX('RAID Log'!$1:$1048576,$B16,MATCH("Impact Area",'RAID Log'!$1:$1,0)),"")="","",IFERROR(INDEX('RAID Log'!$1:$1048576,$B16,MATCH("Impact Area",'RAID Log'!$1:$1,0)),"")))</f>
        <v/>
      </c>
      <c r="G16" s="31" t="str">
        <f>IF($B16="","",IF(IFERROR(INDEX('RAID Log'!$1:$1048576,$B16,MATCH("Impact Rating",'RAID Log'!$1:$1,0)),"")="","",IFERROR(INDEX('RAID Log'!$1:$1048576,$B16,MATCH("Impact Rating",'RAID Log'!$1:$1,0)),"")))</f>
        <v/>
      </c>
      <c r="H16" s="31" t="str">
        <f>IF($B16="","",IF(IFERROR(INDEX('RAID Log'!$1:$1048576,$B16,MATCH("Initial Probability",'RAID Log'!$1:$1,0)),"")="","",IFERROR(INDEX('RAID Log'!$1:$1048576,$B16,MATCH("Initial Probability",'RAID Log'!$1:$1,0)),"")))</f>
        <v/>
      </c>
      <c r="I16" s="32" t="str">
        <f t="shared" si="0"/>
        <v/>
      </c>
      <c r="J16" s="31" t="str">
        <f t="shared" si="1"/>
        <v/>
      </c>
      <c r="K16" s="32" t="str">
        <f t="shared" si="2"/>
        <v/>
      </c>
      <c r="L16" s="31" t="str">
        <f>IF($B16="","",IF(IFERROR(INDEX('RAID Log'!$1:$1048576,$B16,MATCH("Status",'RAID Log'!$1:$1,0)),"")="","",IFERROR(INDEX('RAID Log'!$1:$1048576,$B16,MATCH("Status",'RAID Log'!$1:$1,0)),"")))</f>
        <v/>
      </c>
      <c r="M16" s="31" t="str">
        <f>IF($B16="","",IF(IFERROR(INDEX('RAID Log'!$1:$1048576,$B16,MATCH("RAID Owner",'RAID Log'!$1:$1,0)),"")="","",IFERROR(INDEX('RAID Log'!$1:$1048576,$B16,MATCH("RAID Owner",'RAID Log'!$1:$1,0)),"")))</f>
        <v/>
      </c>
      <c r="N16" s="33" t="str">
        <f>IF($B16="","",IF(IFERROR(INDEX('RAID Log'!$1:$1048576,$B16,MATCH("Date Raised",'RAID Log'!$1:$1,0)),"")="","",IFERROR(INDEX('RAID Log'!$1:$1048576,$B16,MATCH("Date Raised",'RAID Log'!$1:$1,0)),"")))</f>
        <v/>
      </c>
      <c r="O16" s="33" t="str">
        <f>IF($B16="","",IF(IFERROR(INDEX('RAID Log'!$1:$1048576,$B16,MATCH("Closed Date",'RAID Log'!$1:$1,0)),"")="","",IFERROR(INDEX('RAID Log'!$1:$1048576,$B16,MATCH("Closed Date",'RAID Log'!$1:$1,0)),"")))</f>
        <v/>
      </c>
      <c r="P16" s="31" t="str">
        <f>IF($B16="","",IF(IFERROR(INDEX('RAID Log'!$1:$1048576,$B16,MATCH("Mitigation Strategy",'RAID Log'!$1:$1,0)),"")="","",IFERROR(INDEX('RAID Log'!$1:$1048576,$B16,MATCH("Mitigation Strategy",'RAID Log'!$1:$1,0)),"")))</f>
        <v/>
      </c>
      <c r="Q16" s="34" t="str">
        <f>IF($B16="","",IF(IFERROR(INDEX('RAID Log'!$1:$1048576,$B16,MATCH("RAID Response/Plan",'RAID Log'!$1:$1,0)),"")="","",IFERROR(INDEX('RAID Log'!$1:$1048576,$B16,MATCH("RAID Response/Plan",'RAID Log'!$1:$1,0)),"")))</f>
        <v/>
      </c>
      <c r="U16" s="1"/>
      <c r="V16" s="1"/>
      <c r="W16" s="1"/>
      <c r="X16" s="1"/>
      <c r="Y16" s="1"/>
      <c r="Z16" s="1"/>
      <c r="AA16" s="1"/>
      <c r="AB16" s="1"/>
      <c r="AC16" s="1"/>
      <c r="AJ16" s="1"/>
      <c r="AL16" s="1"/>
      <c r="AM16" s="1"/>
      <c r="AN16" s="1"/>
    </row>
    <row r="17" spans="1:40" ht="15" customHeight="1" thickTop="1" thickBot="1" x14ac:dyDescent="0.3">
      <c r="A17" s="28" t="str">
        <f>IF($B17="","",IF(IFERROR(INDEX('RAID Log'!$1:$1048576,$B17,MATCH("RAID ID",'RAID Log'!$1:$1,0)),"")="","",IFERROR(INDEX('RAID Log'!$1:$1048576,$B17,MATCH("RAID ID",'RAID Log'!$1:$1,0)),"")))</f>
        <v/>
      </c>
      <c r="B17" s="29" t="str">
        <f>IFERROR(MATCH(ROW()-1,'RAID Log'!$S:$S,0),"")</f>
        <v/>
      </c>
      <c r="C17" s="31" t="str">
        <f>IF($B17="","",IF(IFERROR(INDEX('RAID Log'!$1:$1048576,$B17,MATCH("Description",'RAID Log'!$1:$1,0)),"")="","",IFERROR(INDEX('RAID Log'!$1:$1048576,$B17,MATCH("Description",'RAID Log'!$1:$1,0)),"")))</f>
        <v/>
      </c>
      <c r="D17" s="31" t="str">
        <f>IF($B17="","",IF(IFERROR(INDEX('RAID Log'!$1:$1048576,$B17,MATCH("Impact/Effect of the RAID",'RAID Log'!$1:$1,0)),"")="","",IFERROR(INDEX('RAID Log'!$1:$1048576,$B17,MATCH("Impact/Effect of the RAID",'RAID Log'!$1:$1,0)),"")))</f>
        <v/>
      </c>
      <c r="E17" s="31" t="str">
        <f>IF($B17="","",IF(IFERROR(INDEX('RAID Log'!$1:$1048576,$B17,MATCH("Impact Area",'RAID Log'!$1:$1,0)),"")="","",IFERROR(INDEX('RAID Log'!$1:$1048576,$B17,MATCH("Impact Area",'RAID Log'!$1:$1,0)),"")))</f>
        <v/>
      </c>
      <c r="F17" s="31" t="str">
        <f>IF($B17="","",IF(IFERROR(INDEX('RAID Log'!$1:$1048576,$B17,MATCH("Impact Area",'RAID Log'!$1:$1,0)),"")="","",IFERROR(INDEX('RAID Log'!$1:$1048576,$B17,MATCH("Impact Area",'RAID Log'!$1:$1,0)),"")))</f>
        <v/>
      </c>
      <c r="G17" s="31" t="str">
        <f>IF($B17="","",IF(IFERROR(INDEX('RAID Log'!$1:$1048576,$B17,MATCH("Impact Rating",'RAID Log'!$1:$1,0)),"")="","",IFERROR(INDEX('RAID Log'!$1:$1048576,$B17,MATCH("Impact Rating",'RAID Log'!$1:$1,0)),"")))</f>
        <v/>
      </c>
      <c r="H17" s="31" t="str">
        <f>IF($B17="","",IF(IFERROR(INDEX('RAID Log'!$1:$1048576,$B17,MATCH("Initial Probability",'RAID Log'!$1:$1,0)),"")="","",IFERROR(INDEX('RAID Log'!$1:$1048576,$B17,MATCH("Initial Probability",'RAID Log'!$1:$1,0)),"")))</f>
        <v/>
      </c>
      <c r="I17" s="32" t="str">
        <f t="shared" si="0"/>
        <v/>
      </c>
      <c r="J17" s="31" t="str">
        <f t="shared" si="1"/>
        <v/>
      </c>
      <c r="K17" s="32" t="str">
        <f t="shared" si="2"/>
        <v/>
      </c>
      <c r="L17" s="31" t="str">
        <f>IF($B17="","",IF(IFERROR(INDEX('RAID Log'!$1:$1048576,$B17,MATCH("Status",'RAID Log'!$1:$1,0)),"")="","",IFERROR(INDEX('RAID Log'!$1:$1048576,$B17,MATCH("Status",'RAID Log'!$1:$1,0)),"")))</f>
        <v/>
      </c>
      <c r="M17" s="31" t="str">
        <f>IF($B17="","",IF(IFERROR(INDEX('RAID Log'!$1:$1048576,$B17,MATCH("RAID Owner",'RAID Log'!$1:$1,0)),"")="","",IFERROR(INDEX('RAID Log'!$1:$1048576,$B17,MATCH("RAID Owner",'RAID Log'!$1:$1,0)),"")))</f>
        <v/>
      </c>
      <c r="N17" s="33" t="str">
        <f>IF($B17="","",IF(IFERROR(INDEX('RAID Log'!$1:$1048576,$B17,MATCH("Date Raised",'RAID Log'!$1:$1,0)),"")="","",IFERROR(INDEX('RAID Log'!$1:$1048576,$B17,MATCH("Date Raised",'RAID Log'!$1:$1,0)),"")))</f>
        <v/>
      </c>
      <c r="O17" s="33" t="str">
        <f>IF($B17="","",IF(IFERROR(INDEX('RAID Log'!$1:$1048576,$B17,MATCH("Closed Date",'RAID Log'!$1:$1,0)),"")="","",IFERROR(INDEX('RAID Log'!$1:$1048576,$B17,MATCH("Closed Date",'RAID Log'!$1:$1,0)),"")))</f>
        <v/>
      </c>
      <c r="P17" s="31" t="str">
        <f>IF($B17="","",IF(IFERROR(INDEX('RAID Log'!$1:$1048576,$B17,MATCH("Mitigation Strategy",'RAID Log'!$1:$1,0)),"")="","",IFERROR(INDEX('RAID Log'!$1:$1048576,$B17,MATCH("Mitigation Strategy",'RAID Log'!$1:$1,0)),"")))</f>
        <v/>
      </c>
      <c r="Q17" s="34" t="str">
        <f>IF($B17="","",IF(IFERROR(INDEX('RAID Log'!$1:$1048576,$B17,MATCH("RAID Response/Plan",'RAID Log'!$1:$1,0)),"")="","",IFERROR(INDEX('RAID Log'!$1:$1048576,$B17,MATCH("RAID Response/Plan",'RAID Log'!$1:$1,0)),"")))</f>
        <v/>
      </c>
      <c r="U17" s="1"/>
      <c r="V17" s="1"/>
      <c r="W17" s="1"/>
      <c r="X17" s="1"/>
      <c r="Y17" s="1"/>
      <c r="Z17" s="1"/>
      <c r="AA17" s="1"/>
      <c r="AB17" s="1"/>
      <c r="AC17" s="1"/>
      <c r="AJ17" s="1"/>
      <c r="AL17" s="1"/>
      <c r="AM17" s="1"/>
      <c r="AN17" s="1"/>
    </row>
    <row r="18" spans="1:40" ht="15" customHeight="1" thickTop="1" thickBot="1" x14ac:dyDescent="0.3">
      <c r="A18" s="28" t="str">
        <f>IF($B18="","",IF(IFERROR(INDEX('RAID Log'!$1:$1048576,$B18,MATCH("RAID ID",'RAID Log'!$1:$1,0)),"")="","",IFERROR(INDEX('RAID Log'!$1:$1048576,$B18,MATCH("RAID ID",'RAID Log'!$1:$1,0)),"")))</f>
        <v/>
      </c>
      <c r="B18" s="29" t="str">
        <f>IFERROR(MATCH(ROW()-1,'RAID Log'!$S:$S,0),"")</f>
        <v/>
      </c>
      <c r="C18" s="31" t="str">
        <f>IF($B18="","",IF(IFERROR(INDEX('RAID Log'!$1:$1048576,$B18,MATCH("Description",'RAID Log'!$1:$1,0)),"")="","",IFERROR(INDEX('RAID Log'!$1:$1048576,$B18,MATCH("Description",'RAID Log'!$1:$1,0)),"")))</f>
        <v/>
      </c>
      <c r="D18" s="31" t="str">
        <f>IF($B18="","",IF(IFERROR(INDEX('RAID Log'!$1:$1048576,$B18,MATCH("Impact/Effect of the RAID",'RAID Log'!$1:$1,0)),"")="","",IFERROR(INDEX('RAID Log'!$1:$1048576,$B18,MATCH("Impact/Effect of the RAID",'RAID Log'!$1:$1,0)),"")))</f>
        <v/>
      </c>
      <c r="E18" s="31" t="str">
        <f>IF($B18="","",IF(IFERROR(INDEX('RAID Log'!$1:$1048576,$B18,MATCH("Impact Area",'RAID Log'!$1:$1,0)),"")="","",IFERROR(INDEX('RAID Log'!$1:$1048576,$B18,MATCH("Impact Area",'RAID Log'!$1:$1,0)),"")))</f>
        <v/>
      </c>
      <c r="F18" s="31" t="str">
        <f>IF($B18="","",IF(IFERROR(INDEX('RAID Log'!$1:$1048576,$B18,MATCH("Impact Area",'RAID Log'!$1:$1,0)),"")="","",IFERROR(INDEX('RAID Log'!$1:$1048576,$B18,MATCH("Impact Area",'RAID Log'!$1:$1,0)),"")))</f>
        <v/>
      </c>
      <c r="G18" s="31" t="str">
        <f>IF($B18="","",IF(IFERROR(INDEX('RAID Log'!$1:$1048576,$B18,MATCH("Impact Rating",'RAID Log'!$1:$1,0)),"")="","",IFERROR(INDEX('RAID Log'!$1:$1048576,$B18,MATCH("Impact Rating",'RAID Log'!$1:$1,0)),"")))</f>
        <v/>
      </c>
      <c r="H18" s="31" t="str">
        <f>IF($B18="","",IF(IFERROR(INDEX('RAID Log'!$1:$1048576,$B18,MATCH("Initial Probability",'RAID Log'!$1:$1,0)),"")="","",IFERROR(INDEX('RAID Log'!$1:$1048576,$B18,MATCH("Initial Probability",'RAID Log'!$1:$1,0)),"")))</f>
        <v/>
      </c>
      <c r="I18" s="32" t="str">
        <f t="shared" si="0"/>
        <v/>
      </c>
      <c r="J18" s="31" t="str">
        <f t="shared" si="1"/>
        <v/>
      </c>
      <c r="K18" s="32" t="str">
        <f t="shared" si="2"/>
        <v/>
      </c>
      <c r="L18" s="31" t="str">
        <f>IF($B18="","",IF(IFERROR(INDEX('RAID Log'!$1:$1048576,$B18,MATCH("Status",'RAID Log'!$1:$1,0)),"")="","",IFERROR(INDEX('RAID Log'!$1:$1048576,$B18,MATCH("Status",'RAID Log'!$1:$1,0)),"")))</f>
        <v/>
      </c>
      <c r="M18" s="31" t="str">
        <f>IF($B18="","",IF(IFERROR(INDEX('RAID Log'!$1:$1048576,$B18,MATCH("RAID Owner",'RAID Log'!$1:$1,0)),"")="","",IFERROR(INDEX('RAID Log'!$1:$1048576,$B18,MATCH("RAID Owner",'RAID Log'!$1:$1,0)),"")))</f>
        <v/>
      </c>
      <c r="N18" s="33" t="str">
        <f>IF($B18="","",IF(IFERROR(INDEX('RAID Log'!$1:$1048576,$B18,MATCH("Date Raised",'RAID Log'!$1:$1,0)),"")="","",IFERROR(INDEX('RAID Log'!$1:$1048576,$B18,MATCH("Date Raised",'RAID Log'!$1:$1,0)),"")))</f>
        <v/>
      </c>
      <c r="O18" s="33" t="str">
        <f>IF($B18="","",IF(IFERROR(INDEX('RAID Log'!$1:$1048576,$B18,MATCH("Closed Date",'RAID Log'!$1:$1,0)),"")="","",IFERROR(INDEX('RAID Log'!$1:$1048576,$B18,MATCH("Closed Date",'RAID Log'!$1:$1,0)),"")))</f>
        <v/>
      </c>
      <c r="P18" s="31" t="str">
        <f>IF($B18="","",IF(IFERROR(INDEX('RAID Log'!$1:$1048576,$B18,MATCH("Mitigation Strategy",'RAID Log'!$1:$1,0)),"")="","",IFERROR(INDEX('RAID Log'!$1:$1048576,$B18,MATCH("Mitigation Strategy",'RAID Log'!$1:$1,0)),"")))</f>
        <v/>
      </c>
      <c r="Q18" s="34" t="str">
        <f>IF($B18="","",IF(IFERROR(INDEX('RAID Log'!$1:$1048576,$B18,MATCH("RAID Response/Plan",'RAID Log'!$1:$1,0)),"")="","",IFERROR(INDEX('RAID Log'!$1:$1048576,$B18,MATCH("RAID Response/Plan",'RAID Log'!$1:$1,0)),"")))</f>
        <v/>
      </c>
      <c r="U18" s="1"/>
      <c r="V18" s="1"/>
      <c r="W18" s="1"/>
      <c r="X18" s="1"/>
      <c r="Y18" s="1"/>
      <c r="Z18" s="1"/>
      <c r="AA18" s="1"/>
      <c r="AB18" s="1"/>
      <c r="AC18" s="1"/>
      <c r="AE18" s="1"/>
      <c r="AF18" s="1"/>
      <c r="AG18" s="1"/>
      <c r="AH18" s="1"/>
      <c r="AI18" s="1"/>
      <c r="AJ18" s="1"/>
      <c r="AK18" s="1"/>
      <c r="AL18" s="1"/>
      <c r="AM18" s="1"/>
      <c r="AN18" s="1"/>
    </row>
    <row r="19" spans="1:40" ht="15" customHeight="1" thickTop="1" thickBot="1" x14ac:dyDescent="0.3">
      <c r="A19" s="28" t="str">
        <f>IF($B19="","",IF(IFERROR(INDEX('RAID Log'!$1:$1048576,$B19,MATCH("RAID ID",'RAID Log'!$1:$1,0)),"")="","",IFERROR(INDEX('RAID Log'!$1:$1048576,$B19,MATCH("RAID ID",'RAID Log'!$1:$1,0)),"")))</f>
        <v/>
      </c>
      <c r="B19" s="29" t="str">
        <f>IFERROR(MATCH(ROW()-1,'RAID Log'!$S:$S,0),"")</f>
        <v/>
      </c>
      <c r="C19" s="31" t="str">
        <f>IF($B19="","",IF(IFERROR(INDEX('RAID Log'!$1:$1048576,$B19,MATCH("Description",'RAID Log'!$1:$1,0)),"")="","",IFERROR(INDEX('RAID Log'!$1:$1048576,$B19,MATCH("Description",'RAID Log'!$1:$1,0)),"")))</f>
        <v/>
      </c>
      <c r="D19" s="31" t="str">
        <f>IF($B19="","",IF(IFERROR(INDEX('RAID Log'!$1:$1048576,$B19,MATCH("Impact/Effect of the RAID",'RAID Log'!$1:$1,0)),"")="","",IFERROR(INDEX('RAID Log'!$1:$1048576,$B19,MATCH("Impact/Effect of the RAID",'RAID Log'!$1:$1,0)),"")))</f>
        <v/>
      </c>
      <c r="E19" s="31" t="str">
        <f>IF($B19="","",IF(IFERROR(INDEX('RAID Log'!$1:$1048576,$B19,MATCH("Impact Area",'RAID Log'!$1:$1,0)),"")="","",IFERROR(INDEX('RAID Log'!$1:$1048576,$B19,MATCH("Impact Area",'RAID Log'!$1:$1,0)),"")))</f>
        <v/>
      </c>
      <c r="F19" s="31" t="str">
        <f>IF($B19="","",IF(IFERROR(INDEX('RAID Log'!$1:$1048576,$B19,MATCH("Impact Area",'RAID Log'!$1:$1,0)),"")="","",IFERROR(INDEX('RAID Log'!$1:$1048576,$B19,MATCH("Impact Area",'RAID Log'!$1:$1,0)),"")))</f>
        <v/>
      </c>
      <c r="G19" s="31" t="str">
        <f>IF($B19="","",IF(IFERROR(INDEX('RAID Log'!$1:$1048576,$B19,MATCH("Impact Rating",'RAID Log'!$1:$1,0)),"")="","",IFERROR(INDEX('RAID Log'!$1:$1048576,$B19,MATCH("Impact Rating",'RAID Log'!$1:$1,0)),"")))</f>
        <v/>
      </c>
      <c r="H19" s="31" t="str">
        <f>IF($B19="","",IF(IFERROR(INDEX('RAID Log'!$1:$1048576,$B19,MATCH("Initial Probability",'RAID Log'!$1:$1,0)),"")="","",IFERROR(INDEX('RAID Log'!$1:$1048576,$B19,MATCH("Initial Probability",'RAID Log'!$1:$1,0)),"")))</f>
        <v/>
      </c>
      <c r="I19" s="32" t="str">
        <f t="shared" si="0"/>
        <v/>
      </c>
      <c r="J19" s="31" t="str">
        <f t="shared" si="1"/>
        <v/>
      </c>
      <c r="K19" s="32" t="str">
        <f t="shared" si="2"/>
        <v/>
      </c>
      <c r="L19" s="31" t="str">
        <f>IF($B19="","",IF(IFERROR(INDEX('RAID Log'!$1:$1048576,$B19,MATCH("Status",'RAID Log'!$1:$1,0)),"")="","",IFERROR(INDEX('RAID Log'!$1:$1048576,$B19,MATCH("Status",'RAID Log'!$1:$1,0)),"")))</f>
        <v/>
      </c>
      <c r="M19" s="31" t="str">
        <f>IF($B19="","",IF(IFERROR(INDEX('RAID Log'!$1:$1048576,$B19,MATCH("RAID Owner",'RAID Log'!$1:$1,0)),"")="","",IFERROR(INDEX('RAID Log'!$1:$1048576,$B19,MATCH("RAID Owner",'RAID Log'!$1:$1,0)),"")))</f>
        <v/>
      </c>
      <c r="N19" s="33" t="str">
        <f>IF($B19="","",IF(IFERROR(INDEX('RAID Log'!$1:$1048576,$B19,MATCH("Date Raised",'RAID Log'!$1:$1,0)),"")="","",IFERROR(INDEX('RAID Log'!$1:$1048576,$B19,MATCH("Date Raised",'RAID Log'!$1:$1,0)),"")))</f>
        <v/>
      </c>
      <c r="O19" s="33" t="str">
        <f>IF($B19="","",IF(IFERROR(INDEX('RAID Log'!$1:$1048576,$B19,MATCH("Closed Date",'RAID Log'!$1:$1,0)),"")="","",IFERROR(INDEX('RAID Log'!$1:$1048576,$B19,MATCH("Closed Date",'RAID Log'!$1:$1,0)),"")))</f>
        <v/>
      </c>
      <c r="P19" s="31" t="str">
        <f>IF($B19="","",IF(IFERROR(INDEX('RAID Log'!$1:$1048576,$B19,MATCH("Mitigation Strategy",'RAID Log'!$1:$1,0)),"")="","",IFERROR(INDEX('RAID Log'!$1:$1048576,$B19,MATCH("Mitigation Strategy",'RAID Log'!$1:$1,0)),"")))</f>
        <v/>
      </c>
      <c r="Q19" s="34" t="str">
        <f>IF($B19="","",IF(IFERROR(INDEX('RAID Log'!$1:$1048576,$B19,MATCH("RAID Response/Plan",'RAID Log'!$1:$1,0)),"")="","",IFERROR(INDEX('RAID Log'!$1:$1048576,$B19,MATCH("RAID Response/Plan",'RAID Log'!$1:$1,0)),"")))</f>
        <v/>
      </c>
      <c r="U19" s="1"/>
      <c r="V19" s="1"/>
      <c r="W19" s="1"/>
      <c r="X19" s="1"/>
      <c r="Y19" s="1"/>
      <c r="Z19" s="1"/>
      <c r="AA19" s="1"/>
      <c r="AB19" s="1"/>
      <c r="AC19" s="1"/>
      <c r="AE19" s="1"/>
      <c r="AF19" s="1"/>
      <c r="AG19" s="1"/>
      <c r="AH19" s="1"/>
      <c r="AI19" s="1"/>
      <c r="AJ19" s="1"/>
      <c r="AK19" s="1"/>
      <c r="AL19" s="1"/>
      <c r="AM19" s="1"/>
      <c r="AN19" s="1"/>
    </row>
    <row r="20" spans="1:40" ht="15" customHeight="1" thickTop="1" thickBot="1" x14ac:dyDescent="0.3">
      <c r="A20" s="28" t="str">
        <f>IF($B20="","",IF(IFERROR(INDEX('RAID Log'!$1:$1048576,$B20,MATCH("RAID ID",'RAID Log'!$1:$1,0)),"")="","",IFERROR(INDEX('RAID Log'!$1:$1048576,$B20,MATCH("RAID ID",'RAID Log'!$1:$1,0)),"")))</f>
        <v/>
      </c>
      <c r="B20" s="29" t="str">
        <f>IFERROR(MATCH(ROW()-1,'RAID Log'!$S:$S,0),"")</f>
        <v/>
      </c>
      <c r="C20" s="31" t="str">
        <f>IF($B20="","",IF(IFERROR(INDEX('RAID Log'!$1:$1048576,$B20,MATCH("Description",'RAID Log'!$1:$1,0)),"")="","",IFERROR(INDEX('RAID Log'!$1:$1048576,$B20,MATCH("Description",'RAID Log'!$1:$1,0)),"")))</f>
        <v/>
      </c>
      <c r="D20" s="31" t="str">
        <f>IF($B20="","",IF(IFERROR(INDEX('RAID Log'!$1:$1048576,$B20,MATCH("Impact/Effect of the RAID",'RAID Log'!$1:$1,0)),"")="","",IFERROR(INDEX('RAID Log'!$1:$1048576,$B20,MATCH("Impact/Effect of the RAID",'RAID Log'!$1:$1,0)),"")))</f>
        <v/>
      </c>
      <c r="E20" s="31" t="str">
        <f>IF($B20="","",IF(IFERROR(INDEX('RAID Log'!$1:$1048576,$B20,MATCH("Impact Area",'RAID Log'!$1:$1,0)),"")="","",IFERROR(INDEX('RAID Log'!$1:$1048576,$B20,MATCH("Impact Area",'RAID Log'!$1:$1,0)),"")))</f>
        <v/>
      </c>
      <c r="F20" s="31" t="str">
        <f>IF($B20="","",IF(IFERROR(INDEX('RAID Log'!$1:$1048576,$B20,MATCH("Impact Area",'RAID Log'!$1:$1,0)),"")="","",IFERROR(INDEX('RAID Log'!$1:$1048576,$B20,MATCH("Impact Area",'RAID Log'!$1:$1,0)),"")))</f>
        <v/>
      </c>
      <c r="G20" s="31" t="str">
        <f>IF($B20="","",IF(IFERROR(INDEX('RAID Log'!$1:$1048576,$B20,MATCH("Impact Rating",'RAID Log'!$1:$1,0)),"")="","",IFERROR(INDEX('RAID Log'!$1:$1048576,$B20,MATCH("Impact Rating",'RAID Log'!$1:$1,0)),"")))</f>
        <v/>
      </c>
      <c r="H20" s="31" t="str">
        <f>IF($B20="","",IF(IFERROR(INDEX('RAID Log'!$1:$1048576,$B20,MATCH("Initial Probability",'RAID Log'!$1:$1,0)),"")="","",IFERROR(INDEX('RAID Log'!$1:$1048576,$B20,MATCH("Initial Probability",'RAID Log'!$1:$1,0)),"")))</f>
        <v/>
      </c>
      <c r="I20" s="32" t="str">
        <f t="shared" si="0"/>
        <v/>
      </c>
      <c r="J20" s="31" t="str">
        <f t="shared" si="1"/>
        <v/>
      </c>
      <c r="K20" s="32" t="str">
        <f t="shared" si="2"/>
        <v/>
      </c>
      <c r="L20" s="31" t="str">
        <f>IF($B20="","",IF(IFERROR(INDEX('RAID Log'!$1:$1048576,$B20,MATCH("Status",'RAID Log'!$1:$1,0)),"")="","",IFERROR(INDEX('RAID Log'!$1:$1048576,$B20,MATCH("Status",'RAID Log'!$1:$1,0)),"")))</f>
        <v/>
      </c>
      <c r="M20" s="31" t="str">
        <f>IF($B20="","",IF(IFERROR(INDEX('RAID Log'!$1:$1048576,$B20,MATCH("RAID Owner",'RAID Log'!$1:$1,0)),"")="","",IFERROR(INDEX('RAID Log'!$1:$1048576,$B20,MATCH("RAID Owner",'RAID Log'!$1:$1,0)),"")))</f>
        <v/>
      </c>
      <c r="N20" s="33" t="str">
        <f>IF($B20="","",IF(IFERROR(INDEX('RAID Log'!$1:$1048576,$B20,MATCH("Date Raised",'RAID Log'!$1:$1,0)),"")="","",IFERROR(INDEX('RAID Log'!$1:$1048576,$B20,MATCH("Date Raised",'RAID Log'!$1:$1,0)),"")))</f>
        <v/>
      </c>
      <c r="O20" s="33" t="str">
        <f>IF($B20="","",IF(IFERROR(INDEX('RAID Log'!$1:$1048576,$B20,MATCH("Closed Date",'RAID Log'!$1:$1,0)),"")="","",IFERROR(INDEX('RAID Log'!$1:$1048576,$B20,MATCH("Closed Date",'RAID Log'!$1:$1,0)),"")))</f>
        <v/>
      </c>
      <c r="P20" s="31" t="str">
        <f>IF($B20="","",IF(IFERROR(INDEX('RAID Log'!$1:$1048576,$B20,MATCH("Mitigation Strategy",'RAID Log'!$1:$1,0)),"")="","",IFERROR(INDEX('RAID Log'!$1:$1048576,$B20,MATCH("Mitigation Strategy",'RAID Log'!$1:$1,0)),"")))</f>
        <v/>
      </c>
      <c r="Q20" s="34" t="str">
        <f>IF($B20="","",IF(IFERROR(INDEX('RAID Log'!$1:$1048576,$B20,MATCH("RAID Response/Plan",'RAID Log'!$1:$1,0)),"")="","",IFERROR(INDEX('RAID Log'!$1:$1048576,$B20,MATCH("RAID Response/Plan",'RAID Log'!$1:$1,0)),"")))</f>
        <v/>
      </c>
    </row>
    <row r="21" spans="1:40" ht="15" customHeight="1" thickTop="1" thickBot="1" x14ac:dyDescent="0.3">
      <c r="A21" s="28" t="str">
        <f>IF($B21="","",IF(IFERROR(INDEX('RAID Log'!$1:$1048576,$B21,MATCH("RAID ID",'RAID Log'!$1:$1,0)),"")="","",IFERROR(INDEX('RAID Log'!$1:$1048576,$B21,MATCH("RAID ID",'RAID Log'!$1:$1,0)),"")))</f>
        <v/>
      </c>
      <c r="B21" s="29" t="str">
        <f>IFERROR(MATCH(ROW()-1,'RAID Log'!$S:$S,0),"")</f>
        <v/>
      </c>
      <c r="C21" s="31" t="str">
        <f>IF($B21="","",IF(IFERROR(INDEX('RAID Log'!$1:$1048576,$B21,MATCH("Description",'RAID Log'!$1:$1,0)),"")="","",IFERROR(INDEX('RAID Log'!$1:$1048576,$B21,MATCH("Description",'RAID Log'!$1:$1,0)),"")))</f>
        <v/>
      </c>
      <c r="D21" s="31" t="str">
        <f>IF($B21="","",IF(IFERROR(INDEX('RAID Log'!$1:$1048576,$B21,MATCH("Impact/Effect of the RAID",'RAID Log'!$1:$1,0)),"")="","",IFERROR(INDEX('RAID Log'!$1:$1048576,$B21,MATCH("Impact/Effect of the RAID",'RAID Log'!$1:$1,0)),"")))</f>
        <v/>
      </c>
      <c r="E21" s="31" t="str">
        <f>IF($B21="","",IF(IFERROR(INDEX('RAID Log'!$1:$1048576,$B21,MATCH("Impact Area",'RAID Log'!$1:$1,0)),"")="","",IFERROR(INDEX('RAID Log'!$1:$1048576,$B21,MATCH("Impact Area",'RAID Log'!$1:$1,0)),"")))</f>
        <v/>
      </c>
      <c r="F21" s="31" t="str">
        <f>IF($B21="","",IF(IFERROR(INDEX('RAID Log'!$1:$1048576,$B21,MATCH("Impact Area",'RAID Log'!$1:$1,0)),"")="","",IFERROR(INDEX('RAID Log'!$1:$1048576,$B21,MATCH("Impact Area",'RAID Log'!$1:$1,0)),"")))</f>
        <v/>
      </c>
      <c r="G21" s="31" t="str">
        <f>IF($B21="","",IF(IFERROR(INDEX('RAID Log'!$1:$1048576,$B21,MATCH("Impact Rating",'RAID Log'!$1:$1,0)),"")="","",IFERROR(INDEX('RAID Log'!$1:$1048576,$B21,MATCH("Impact Rating",'RAID Log'!$1:$1,0)),"")))</f>
        <v/>
      </c>
      <c r="H21" s="31" t="str">
        <f>IF($B21="","",IF(IFERROR(INDEX('RAID Log'!$1:$1048576,$B21,MATCH("Initial Probability",'RAID Log'!$1:$1,0)),"")="","",IFERROR(INDEX('RAID Log'!$1:$1048576,$B21,MATCH("Initial Probability",'RAID Log'!$1:$1,0)),"")))</f>
        <v/>
      </c>
      <c r="I21" s="32" t="str">
        <f t="shared" si="0"/>
        <v/>
      </c>
      <c r="J21" s="31" t="str">
        <f t="shared" si="1"/>
        <v/>
      </c>
      <c r="K21" s="32" t="str">
        <f t="shared" si="2"/>
        <v/>
      </c>
      <c r="L21" s="31" t="str">
        <f>IF($B21="","",IF(IFERROR(INDEX('RAID Log'!$1:$1048576,$B21,MATCH("Status",'RAID Log'!$1:$1,0)),"")="","",IFERROR(INDEX('RAID Log'!$1:$1048576,$B21,MATCH("Status",'RAID Log'!$1:$1,0)),"")))</f>
        <v/>
      </c>
      <c r="M21" s="31" t="str">
        <f>IF($B21="","",IF(IFERROR(INDEX('RAID Log'!$1:$1048576,$B21,MATCH("RAID Owner",'RAID Log'!$1:$1,0)),"")="","",IFERROR(INDEX('RAID Log'!$1:$1048576,$B21,MATCH("RAID Owner",'RAID Log'!$1:$1,0)),"")))</f>
        <v/>
      </c>
      <c r="N21" s="33" t="str">
        <f>IF($B21="","",IF(IFERROR(INDEX('RAID Log'!$1:$1048576,$B21,MATCH("Date Raised",'RAID Log'!$1:$1,0)),"")="","",IFERROR(INDEX('RAID Log'!$1:$1048576,$B21,MATCH("Date Raised",'RAID Log'!$1:$1,0)),"")))</f>
        <v/>
      </c>
      <c r="O21" s="33" t="str">
        <f>IF($B21="","",IF(IFERROR(INDEX('RAID Log'!$1:$1048576,$B21,MATCH("Closed Date",'RAID Log'!$1:$1,0)),"")="","",IFERROR(INDEX('RAID Log'!$1:$1048576,$B21,MATCH("Closed Date",'RAID Log'!$1:$1,0)),"")))</f>
        <v/>
      </c>
      <c r="P21" s="31" t="str">
        <f>IF($B21="","",IF(IFERROR(INDEX('RAID Log'!$1:$1048576,$B21,MATCH("Mitigation Strategy",'RAID Log'!$1:$1,0)),"")="","",IFERROR(INDEX('RAID Log'!$1:$1048576,$B21,MATCH("Mitigation Strategy",'RAID Log'!$1:$1,0)),"")))</f>
        <v/>
      </c>
      <c r="Q21" s="34" t="str">
        <f>IF($B21="","",IF(IFERROR(INDEX('RAID Log'!$1:$1048576,$B21,MATCH("RAID Response/Plan",'RAID Log'!$1:$1,0)),"")="","",IFERROR(INDEX('RAID Log'!$1:$1048576,$B21,MATCH("RAID Response/Plan",'RAID Log'!$1:$1,0)),"")))</f>
        <v/>
      </c>
    </row>
    <row r="22" spans="1:40" ht="15" customHeight="1" thickTop="1" thickBot="1" x14ac:dyDescent="0.3">
      <c r="A22" s="28" t="str">
        <f>IF($B22="","",IF(IFERROR(INDEX('RAID Log'!$1:$1048576,$B22,MATCH("RAID ID",'RAID Log'!$1:$1,0)),"")="","",IFERROR(INDEX('RAID Log'!$1:$1048576,$B22,MATCH("RAID ID",'RAID Log'!$1:$1,0)),"")))</f>
        <v/>
      </c>
      <c r="B22" s="29" t="str">
        <f>IFERROR(MATCH(ROW()-1,'RAID Log'!$S:$S,0),"")</f>
        <v/>
      </c>
      <c r="C22" s="31" t="str">
        <f>IF($B22="","",IF(IFERROR(INDEX('RAID Log'!$1:$1048576,$B22,MATCH("Description",'RAID Log'!$1:$1,0)),"")="","",IFERROR(INDEX('RAID Log'!$1:$1048576,$B22,MATCH("Description",'RAID Log'!$1:$1,0)),"")))</f>
        <v/>
      </c>
      <c r="D22" s="31" t="str">
        <f>IF($B22="","",IF(IFERROR(INDEX('RAID Log'!$1:$1048576,$B22,MATCH("Impact/Effect of the RAID",'RAID Log'!$1:$1,0)),"")="","",IFERROR(INDEX('RAID Log'!$1:$1048576,$B22,MATCH("Impact/Effect of the RAID",'RAID Log'!$1:$1,0)),"")))</f>
        <v/>
      </c>
      <c r="E22" s="31" t="str">
        <f>IF($B22="","",IF(IFERROR(INDEX('RAID Log'!$1:$1048576,$B22,MATCH("Impact Area",'RAID Log'!$1:$1,0)),"")="","",IFERROR(INDEX('RAID Log'!$1:$1048576,$B22,MATCH("Impact Area",'RAID Log'!$1:$1,0)),"")))</f>
        <v/>
      </c>
      <c r="F22" s="31" t="str">
        <f>IF($B22="","",IF(IFERROR(INDEX('RAID Log'!$1:$1048576,$B22,MATCH("Impact Area",'RAID Log'!$1:$1,0)),"")="","",IFERROR(INDEX('RAID Log'!$1:$1048576,$B22,MATCH("Impact Area",'RAID Log'!$1:$1,0)),"")))</f>
        <v/>
      </c>
      <c r="G22" s="31" t="str">
        <f>IF($B22="","",IF(IFERROR(INDEX('RAID Log'!$1:$1048576,$B22,MATCH("Impact Rating",'RAID Log'!$1:$1,0)),"")="","",IFERROR(INDEX('RAID Log'!$1:$1048576,$B22,MATCH("Impact Rating",'RAID Log'!$1:$1,0)),"")))</f>
        <v/>
      </c>
      <c r="H22" s="31" t="str">
        <f>IF($B22="","",IF(IFERROR(INDEX('RAID Log'!$1:$1048576,$B22,MATCH("Initial Probability",'RAID Log'!$1:$1,0)),"")="","",IFERROR(INDEX('RAID Log'!$1:$1048576,$B22,MATCH("Initial Probability",'RAID Log'!$1:$1,0)),"")))</f>
        <v/>
      </c>
      <c r="I22" s="32" t="str">
        <f t="shared" si="0"/>
        <v/>
      </c>
      <c r="J22" s="31" t="str">
        <f t="shared" si="1"/>
        <v/>
      </c>
      <c r="K22" s="32" t="str">
        <f t="shared" si="2"/>
        <v/>
      </c>
      <c r="L22" s="31" t="str">
        <f>IF($B22="","",IF(IFERROR(INDEX('RAID Log'!$1:$1048576,$B22,MATCH("Status",'RAID Log'!$1:$1,0)),"")="","",IFERROR(INDEX('RAID Log'!$1:$1048576,$B22,MATCH("Status",'RAID Log'!$1:$1,0)),"")))</f>
        <v/>
      </c>
      <c r="M22" s="31" t="str">
        <f>IF($B22="","",IF(IFERROR(INDEX('RAID Log'!$1:$1048576,$B22,MATCH("RAID Owner",'RAID Log'!$1:$1,0)),"")="","",IFERROR(INDEX('RAID Log'!$1:$1048576,$B22,MATCH("RAID Owner",'RAID Log'!$1:$1,0)),"")))</f>
        <v/>
      </c>
      <c r="N22" s="33" t="str">
        <f>IF($B22="","",IF(IFERROR(INDEX('RAID Log'!$1:$1048576,$B22,MATCH("Date Raised",'RAID Log'!$1:$1,0)),"")="","",IFERROR(INDEX('RAID Log'!$1:$1048576,$B22,MATCH("Date Raised",'RAID Log'!$1:$1,0)),"")))</f>
        <v/>
      </c>
      <c r="O22" s="33" t="str">
        <f>IF($B22="","",IF(IFERROR(INDEX('RAID Log'!$1:$1048576,$B22,MATCH("Closed Date",'RAID Log'!$1:$1,0)),"")="","",IFERROR(INDEX('RAID Log'!$1:$1048576,$B22,MATCH("Closed Date",'RAID Log'!$1:$1,0)),"")))</f>
        <v/>
      </c>
      <c r="P22" s="31" t="str">
        <f>IF($B22="","",IF(IFERROR(INDEX('RAID Log'!$1:$1048576,$B22,MATCH("Mitigation Strategy",'RAID Log'!$1:$1,0)),"")="","",IFERROR(INDEX('RAID Log'!$1:$1048576,$B22,MATCH("Mitigation Strategy",'RAID Log'!$1:$1,0)),"")))</f>
        <v/>
      </c>
      <c r="Q22" s="34" t="str">
        <f>IF($B22="","",IF(IFERROR(INDEX('RAID Log'!$1:$1048576,$B22,MATCH("RAID Response/Plan",'RAID Log'!$1:$1,0)),"")="","",IFERROR(INDEX('RAID Log'!$1:$1048576,$B22,MATCH("RAID Response/Plan",'RAID Log'!$1:$1,0)),"")))</f>
        <v/>
      </c>
    </row>
    <row r="23" spans="1:40" ht="15" customHeight="1" thickTop="1" thickBot="1" x14ac:dyDescent="0.3">
      <c r="A23" s="28" t="str">
        <f>IF($B23="","",IF(IFERROR(INDEX('RAID Log'!$1:$1048576,$B23,MATCH("RAID ID",'RAID Log'!$1:$1,0)),"")="","",IFERROR(INDEX('RAID Log'!$1:$1048576,$B23,MATCH("RAID ID",'RAID Log'!$1:$1,0)),"")))</f>
        <v/>
      </c>
      <c r="B23" s="29" t="str">
        <f>IFERROR(MATCH(ROW()-1,'RAID Log'!$S:$S,0),"")</f>
        <v/>
      </c>
      <c r="C23" s="31" t="str">
        <f>IF($B23="","",IF(IFERROR(INDEX('RAID Log'!$1:$1048576,$B23,MATCH("Description",'RAID Log'!$1:$1,0)),"")="","",IFERROR(INDEX('RAID Log'!$1:$1048576,$B23,MATCH("Description",'RAID Log'!$1:$1,0)),"")))</f>
        <v/>
      </c>
      <c r="D23" s="31" t="str">
        <f>IF($B23="","",IF(IFERROR(INDEX('RAID Log'!$1:$1048576,$B23,MATCH("Impact/Effect of the RAID",'RAID Log'!$1:$1,0)),"")="","",IFERROR(INDEX('RAID Log'!$1:$1048576,$B23,MATCH("Impact/Effect of the RAID",'RAID Log'!$1:$1,0)),"")))</f>
        <v/>
      </c>
      <c r="E23" s="31" t="str">
        <f>IF($B23="","",IF(IFERROR(INDEX('RAID Log'!$1:$1048576,$B23,MATCH("Impact Area",'RAID Log'!$1:$1,0)),"")="","",IFERROR(INDEX('RAID Log'!$1:$1048576,$B23,MATCH("Impact Area",'RAID Log'!$1:$1,0)),"")))</f>
        <v/>
      </c>
      <c r="F23" s="31" t="str">
        <f>IF($B23="","",IF(IFERROR(INDEX('RAID Log'!$1:$1048576,$B23,MATCH("Impact Area",'RAID Log'!$1:$1,0)),"")="","",IFERROR(INDEX('RAID Log'!$1:$1048576,$B23,MATCH("Impact Area",'RAID Log'!$1:$1,0)),"")))</f>
        <v/>
      </c>
      <c r="G23" s="31" t="str">
        <f>IF($B23="","",IF(IFERROR(INDEX('RAID Log'!$1:$1048576,$B23,MATCH("Impact Rating",'RAID Log'!$1:$1,0)),"")="","",IFERROR(INDEX('RAID Log'!$1:$1048576,$B23,MATCH("Impact Rating",'RAID Log'!$1:$1,0)),"")))</f>
        <v/>
      </c>
      <c r="H23" s="31" t="str">
        <f>IF($B23="","",IF(IFERROR(INDEX('RAID Log'!$1:$1048576,$B23,MATCH("Initial Probability",'RAID Log'!$1:$1,0)),"")="","",IFERROR(INDEX('RAID Log'!$1:$1048576,$B23,MATCH("Initial Probability",'RAID Log'!$1:$1,0)),"")))</f>
        <v/>
      </c>
      <c r="I23" s="32" t="str">
        <f t="shared" si="0"/>
        <v/>
      </c>
      <c r="J23" s="31" t="str">
        <f t="shared" si="1"/>
        <v/>
      </c>
      <c r="K23" s="32" t="str">
        <f t="shared" si="2"/>
        <v/>
      </c>
      <c r="L23" s="31" t="str">
        <f>IF($B23="","",IF(IFERROR(INDEX('RAID Log'!$1:$1048576,$B23,MATCH("Status",'RAID Log'!$1:$1,0)),"")="","",IFERROR(INDEX('RAID Log'!$1:$1048576,$B23,MATCH("Status",'RAID Log'!$1:$1,0)),"")))</f>
        <v/>
      </c>
      <c r="M23" s="31" t="str">
        <f>IF($B23="","",IF(IFERROR(INDEX('RAID Log'!$1:$1048576,$B23,MATCH("RAID Owner",'RAID Log'!$1:$1,0)),"")="","",IFERROR(INDEX('RAID Log'!$1:$1048576,$B23,MATCH("RAID Owner",'RAID Log'!$1:$1,0)),"")))</f>
        <v/>
      </c>
      <c r="N23" s="33" t="str">
        <f>IF($B23="","",IF(IFERROR(INDEX('RAID Log'!$1:$1048576,$B23,MATCH("Date Raised",'RAID Log'!$1:$1,0)),"")="","",IFERROR(INDEX('RAID Log'!$1:$1048576,$B23,MATCH("Date Raised",'RAID Log'!$1:$1,0)),"")))</f>
        <v/>
      </c>
      <c r="O23" s="33" t="str">
        <f>IF($B23="","",IF(IFERROR(INDEX('RAID Log'!$1:$1048576,$B23,MATCH("Closed Date",'RAID Log'!$1:$1,0)),"")="","",IFERROR(INDEX('RAID Log'!$1:$1048576,$B23,MATCH("Closed Date",'RAID Log'!$1:$1,0)),"")))</f>
        <v/>
      </c>
      <c r="P23" s="31" t="str">
        <f>IF($B23="","",IF(IFERROR(INDEX('RAID Log'!$1:$1048576,$B23,MATCH("Mitigation Strategy",'RAID Log'!$1:$1,0)),"")="","",IFERROR(INDEX('RAID Log'!$1:$1048576,$B23,MATCH("Mitigation Strategy",'RAID Log'!$1:$1,0)),"")))</f>
        <v/>
      </c>
      <c r="Q23" s="34" t="str">
        <f>IF($B23="","",IF(IFERROR(INDEX('RAID Log'!$1:$1048576,$B23,MATCH("RAID Response/Plan",'RAID Log'!$1:$1,0)),"")="","",IFERROR(INDEX('RAID Log'!$1:$1048576,$B23,MATCH("RAID Response/Plan",'RAID Log'!$1:$1,0)),"")))</f>
        <v/>
      </c>
    </row>
    <row r="24" spans="1:40" ht="15" customHeight="1" thickTop="1" thickBot="1" x14ac:dyDescent="0.3">
      <c r="A24" s="28" t="str">
        <f>IF($B24="","",IF(IFERROR(INDEX('RAID Log'!$1:$1048576,$B24,MATCH("RAID ID",'RAID Log'!$1:$1,0)),"")="","",IFERROR(INDEX('RAID Log'!$1:$1048576,$B24,MATCH("RAID ID",'RAID Log'!$1:$1,0)),"")))</f>
        <v/>
      </c>
      <c r="B24" s="29" t="str">
        <f>IFERROR(MATCH(ROW()-1,'RAID Log'!$S:$S,0),"")</f>
        <v/>
      </c>
      <c r="C24" s="31" t="str">
        <f>IF($B24="","",IF(IFERROR(INDEX('RAID Log'!$1:$1048576,$B24,MATCH("Description",'RAID Log'!$1:$1,0)),"")="","",IFERROR(INDEX('RAID Log'!$1:$1048576,$B24,MATCH("Description",'RAID Log'!$1:$1,0)),"")))</f>
        <v/>
      </c>
      <c r="D24" s="31" t="str">
        <f>IF($B24="","",IF(IFERROR(INDEX('RAID Log'!$1:$1048576,$B24,MATCH("Impact/Effect of the RAID",'RAID Log'!$1:$1,0)),"")="","",IFERROR(INDEX('RAID Log'!$1:$1048576,$B24,MATCH("Impact/Effect of the RAID",'RAID Log'!$1:$1,0)),"")))</f>
        <v/>
      </c>
      <c r="E24" s="31" t="str">
        <f>IF($B24="","",IF(IFERROR(INDEX('RAID Log'!$1:$1048576,$B24,MATCH("Impact Area",'RAID Log'!$1:$1,0)),"")="","",IFERROR(INDEX('RAID Log'!$1:$1048576,$B24,MATCH("Impact Area",'RAID Log'!$1:$1,0)),"")))</f>
        <v/>
      </c>
      <c r="F24" s="31" t="str">
        <f>IF($B24="","",IF(IFERROR(INDEX('RAID Log'!$1:$1048576,$B24,MATCH("Impact Area",'RAID Log'!$1:$1,0)),"")="","",IFERROR(INDEX('RAID Log'!$1:$1048576,$B24,MATCH("Impact Area",'RAID Log'!$1:$1,0)),"")))</f>
        <v/>
      </c>
      <c r="G24" s="31" t="str">
        <f>IF($B24="","",IF(IFERROR(INDEX('RAID Log'!$1:$1048576,$B24,MATCH("Impact Rating",'RAID Log'!$1:$1,0)),"")="","",IFERROR(INDEX('RAID Log'!$1:$1048576,$B24,MATCH("Impact Rating",'RAID Log'!$1:$1,0)),"")))</f>
        <v/>
      </c>
      <c r="H24" s="31" t="str">
        <f>IF($B24="","",IF(IFERROR(INDEX('RAID Log'!$1:$1048576,$B24,MATCH("Initial Probability",'RAID Log'!$1:$1,0)),"")="","",IFERROR(INDEX('RAID Log'!$1:$1048576,$B24,MATCH("Initial Probability",'RAID Log'!$1:$1,0)),"")))</f>
        <v/>
      </c>
      <c r="I24" s="32" t="str">
        <f t="shared" si="0"/>
        <v/>
      </c>
      <c r="J24" s="31" t="str">
        <f t="shared" si="1"/>
        <v/>
      </c>
      <c r="K24" s="32" t="str">
        <f t="shared" si="2"/>
        <v/>
      </c>
      <c r="L24" s="31" t="str">
        <f>IF($B24="","",IF(IFERROR(INDEX('RAID Log'!$1:$1048576,$B24,MATCH("Status",'RAID Log'!$1:$1,0)),"")="","",IFERROR(INDEX('RAID Log'!$1:$1048576,$B24,MATCH("Status",'RAID Log'!$1:$1,0)),"")))</f>
        <v/>
      </c>
      <c r="M24" s="31" t="str">
        <f>IF($B24="","",IF(IFERROR(INDEX('RAID Log'!$1:$1048576,$B24,MATCH("RAID Owner",'RAID Log'!$1:$1,0)),"")="","",IFERROR(INDEX('RAID Log'!$1:$1048576,$B24,MATCH("RAID Owner",'RAID Log'!$1:$1,0)),"")))</f>
        <v/>
      </c>
      <c r="N24" s="33" t="str">
        <f>IF($B24="","",IF(IFERROR(INDEX('RAID Log'!$1:$1048576,$B24,MATCH("Date Raised",'RAID Log'!$1:$1,0)),"")="","",IFERROR(INDEX('RAID Log'!$1:$1048576,$B24,MATCH("Date Raised",'RAID Log'!$1:$1,0)),"")))</f>
        <v/>
      </c>
      <c r="O24" s="33" t="str">
        <f>IF($B24="","",IF(IFERROR(INDEX('RAID Log'!$1:$1048576,$B24,MATCH("Closed Date",'RAID Log'!$1:$1,0)),"")="","",IFERROR(INDEX('RAID Log'!$1:$1048576,$B24,MATCH("Closed Date",'RAID Log'!$1:$1,0)),"")))</f>
        <v/>
      </c>
      <c r="P24" s="31" t="str">
        <f>IF($B24="","",IF(IFERROR(INDEX('RAID Log'!$1:$1048576,$B24,MATCH("Mitigation Strategy",'RAID Log'!$1:$1,0)),"")="","",IFERROR(INDEX('RAID Log'!$1:$1048576,$B24,MATCH("Mitigation Strategy",'RAID Log'!$1:$1,0)),"")))</f>
        <v/>
      </c>
      <c r="Q24" s="34" t="str">
        <f>IF($B24="","",IF(IFERROR(INDEX('RAID Log'!$1:$1048576,$B24,MATCH("RAID Response/Plan",'RAID Log'!$1:$1,0)),"")="","",IFERROR(INDEX('RAID Log'!$1:$1048576,$B24,MATCH("RAID Response/Plan",'RAID Log'!$1:$1,0)),"")))</f>
        <v/>
      </c>
    </row>
    <row r="25" spans="1:40" ht="15" customHeight="1" thickTop="1" thickBot="1" x14ac:dyDescent="0.3">
      <c r="A25" s="28" t="str">
        <f>IF($B25="","",IF(IFERROR(INDEX('RAID Log'!$1:$1048576,$B25,MATCH("RAID ID",'RAID Log'!$1:$1,0)),"")="","",IFERROR(INDEX('RAID Log'!$1:$1048576,$B25,MATCH("RAID ID",'RAID Log'!$1:$1,0)),"")))</f>
        <v/>
      </c>
      <c r="B25" s="29" t="str">
        <f>IFERROR(MATCH(ROW()-1,'RAID Log'!$S:$S,0),"")</f>
        <v/>
      </c>
      <c r="C25" s="31" t="str">
        <f>IF($B25="","",IF(IFERROR(INDEX('RAID Log'!$1:$1048576,$B25,MATCH("Description",'RAID Log'!$1:$1,0)),"")="","",IFERROR(INDEX('RAID Log'!$1:$1048576,$B25,MATCH("Description",'RAID Log'!$1:$1,0)),"")))</f>
        <v/>
      </c>
      <c r="D25" s="31" t="str">
        <f>IF($B25="","",IF(IFERROR(INDEX('RAID Log'!$1:$1048576,$B25,MATCH("Impact/Effect of the RAID",'RAID Log'!$1:$1,0)),"")="","",IFERROR(INDEX('RAID Log'!$1:$1048576,$B25,MATCH("Impact/Effect of the RAID",'RAID Log'!$1:$1,0)),"")))</f>
        <v/>
      </c>
      <c r="E25" s="31" t="str">
        <f>IF($B25="","",IF(IFERROR(INDEX('RAID Log'!$1:$1048576,$B25,MATCH("Impact Area",'RAID Log'!$1:$1,0)),"")="","",IFERROR(INDEX('RAID Log'!$1:$1048576,$B25,MATCH("Impact Area",'RAID Log'!$1:$1,0)),"")))</f>
        <v/>
      </c>
      <c r="F25" s="31" t="str">
        <f>IF($B25="","",IF(IFERROR(INDEX('RAID Log'!$1:$1048576,$B25,MATCH("Impact Area",'RAID Log'!$1:$1,0)),"")="","",IFERROR(INDEX('RAID Log'!$1:$1048576,$B25,MATCH("Impact Area",'RAID Log'!$1:$1,0)),"")))</f>
        <v/>
      </c>
      <c r="G25" s="31" t="str">
        <f>IF($B25="","",IF(IFERROR(INDEX('RAID Log'!$1:$1048576,$B25,MATCH("Impact Rating",'RAID Log'!$1:$1,0)),"")="","",IFERROR(INDEX('RAID Log'!$1:$1048576,$B25,MATCH("Impact Rating",'RAID Log'!$1:$1,0)),"")))</f>
        <v/>
      </c>
      <c r="H25" s="31" t="str">
        <f>IF($B25="","",IF(IFERROR(INDEX('RAID Log'!$1:$1048576,$B25,MATCH("Initial Probability",'RAID Log'!$1:$1,0)),"")="","",IFERROR(INDEX('RAID Log'!$1:$1048576,$B25,MATCH("Initial Probability",'RAID Log'!$1:$1,0)),"")))</f>
        <v/>
      </c>
      <c r="I25" s="32" t="str">
        <f t="shared" si="0"/>
        <v/>
      </c>
      <c r="J25" s="31" t="str">
        <f t="shared" si="1"/>
        <v/>
      </c>
      <c r="K25" s="32" t="str">
        <f t="shared" si="2"/>
        <v/>
      </c>
      <c r="L25" s="31" t="str">
        <f>IF($B25="","",IF(IFERROR(INDEX('RAID Log'!$1:$1048576,$B25,MATCH("Status",'RAID Log'!$1:$1,0)),"")="","",IFERROR(INDEX('RAID Log'!$1:$1048576,$B25,MATCH("Status",'RAID Log'!$1:$1,0)),"")))</f>
        <v/>
      </c>
      <c r="M25" s="31" t="str">
        <f>IF($B25="","",IF(IFERROR(INDEX('RAID Log'!$1:$1048576,$B25,MATCH("RAID Owner",'RAID Log'!$1:$1,0)),"")="","",IFERROR(INDEX('RAID Log'!$1:$1048576,$B25,MATCH("RAID Owner",'RAID Log'!$1:$1,0)),"")))</f>
        <v/>
      </c>
      <c r="N25" s="33" t="str">
        <f>IF($B25="","",IF(IFERROR(INDEX('RAID Log'!$1:$1048576,$B25,MATCH("Date Raised",'RAID Log'!$1:$1,0)),"")="","",IFERROR(INDEX('RAID Log'!$1:$1048576,$B25,MATCH("Date Raised",'RAID Log'!$1:$1,0)),"")))</f>
        <v/>
      </c>
      <c r="O25" s="33" t="str">
        <f>IF($B25="","",IF(IFERROR(INDEX('RAID Log'!$1:$1048576,$B25,MATCH("Closed Date",'RAID Log'!$1:$1,0)),"")="","",IFERROR(INDEX('RAID Log'!$1:$1048576,$B25,MATCH("Closed Date",'RAID Log'!$1:$1,0)),"")))</f>
        <v/>
      </c>
      <c r="P25" s="31" t="str">
        <f>IF($B25="","",IF(IFERROR(INDEX('RAID Log'!$1:$1048576,$B25,MATCH("Mitigation Strategy",'RAID Log'!$1:$1,0)),"")="","",IFERROR(INDEX('RAID Log'!$1:$1048576,$B25,MATCH("Mitigation Strategy",'RAID Log'!$1:$1,0)),"")))</f>
        <v/>
      </c>
      <c r="Q25" s="34" t="str">
        <f>IF($B25="","",IF(IFERROR(INDEX('RAID Log'!$1:$1048576,$B25,MATCH("RAID Response/Plan",'RAID Log'!$1:$1,0)),"")="","",IFERROR(INDEX('RAID Log'!$1:$1048576,$B25,MATCH("RAID Response/Plan",'RAID Log'!$1:$1,0)),"")))</f>
        <v/>
      </c>
    </row>
    <row r="26" spans="1:40" ht="15" customHeight="1" thickTop="1" thickBot="1" x14ac:dyDescent="0.3">
      <c r="A26" s="28" t="str">
        <f>IF($B26="","",IF(IFERROR(INDEX('RAID Log'!$1:$1048576,$B26,MATCH("RAID ID",'RAID Log'!$1:$1,0)),"")="","",IFERROR(INDEX('RAID Log'!$1:$1048576,$B26,MATCH("RAID ID",'RAID Log'!$1:$1,0)),"")))</f>
        <v/>
      </c>
      <c r="B26" s="29" t="str">
        <f>IFERROR(MATCH(ROW()-1,'RAID Log'!$S:$S,0),"")</f>
        <v/>
      </c>
      <c r="C26" s="31" t="str">
        <f>IF($B26="","",IF(IFERROR(INDEX('RAID Log'!$1:$1048576,$B26,MATCH("Description",'RAID Log'!$1:$1,0)),"")="","",IFERROR(INDEX('RAID Log'!$1:$1048576,$B26,MATCH("Description",'RAID Log'!$1:$1,0)),"")))</f>
        <v/>
      </c>
      <c r="D26" s="31" t="str">
        <f>IF($B26="","",IF(IFERROR(INDEX('RAID Log'!$1:$1048576,$B26,MATCH("Impact/Effect of the RAID",'RAID Log'!$1:$1,0)),"")="","",IFERROR(INDEX('RAID Log'!$1:$1048576,$B26,MATCH("Impact/Effect of the RAID",'RAID Log'!$1:$1,0)),"")))</f>
        <v/>
      </c>
      <c r="E26" s="31" t="str">
        <f>IF($B26="","",IF(IFERROR(INDEX('RAID Log'!$1:$1048576,$B26,MATCH("Impact Area",'RAID Log'!$1:$1,0)),"")="","",IFERROR(INDEX('RAID Log'!$1:$1048576,$B26,MATCH("Impact Area",'RAID Log'!$1:$1,0)),"")))</f>
        <v/>
      </c>
      <c r="F26" s="31" t="str">
        <f>IF($B26="","",IF(IFERROR(INDEX('RAID Log'!$1:$1048576,$B26,MATCH("Impact Area",'RAID Log'!$1:$1,0)),"")="","",IFERROR(INDEX('RAID Log'!$1:$1048576,$B26,MATCH("Impact Area",'RAID Log'!$1:$1,0)),"")))</f>
        <v/>
      </c>
      <c r="G26" s="31" t="str">
        <f>IF($B26="","",IF(IFERROR(INDEX('RAID Log'!$1:$1048576,$B26,MATCH("Impact Rating",'RAID Log'!$1:$1,0)),"")="","",IFERROR(INDEX('RAID Log'!$1:$1048576,$B26,MATCH("Impact Rating",'RAID Log'!$1:$1,0)),"")))</f>
        <v/>
      </c>
      <c r="H26" s="31" t="str">
        <f>IF($B26="","",IF(IFERROR(INDEX('RAID Log'!$1:$1048576,$B26,MATCH("Initial Probability",'RAID Log'!$1:$1,0)),"")="","",IFERROR(INDEX('RAID Log'!$1:$1048576,$B26,MATCH("Initial Probability",'RAID Log'!$1:$1,0)),"")))</f>
        <v/>
      </c>
      <c r="I26" s="32" t="str">
        <f t="shared" si="0"/>
        <v/>
      </c>
      <c r="J26" s="31" t="str">
        <f t="shared" si="1"/>
        <v/>
      </c>
      <c r="K26" s="32" t="str">
        <f t="shared" si="2"/>
        <v/>
      </c>
      <c r="L26" s="31" t="str">
        <f>IF($B26="","",IF(IFERROR(INDEX('RAID Log'!$1:$1048576,$B26,MATCH("Status",'RAID Log'!$1:$1,0)),"")="","",IFERROR(INDEX('RAID Log'!$1:$1048576,$B26,MATCH("Status",'RAID Log'!$1:$1,0)),"")))</f>
        <v/>
      </c>
      <c r="M26" s="31" t="str">
        <f>IF($B26="","",IF(IFERROR(INDEX('RAID Log'!$1:$1048576,$B26,MATCH("RAID Owner",'RAID Log'!$1:$1,0)),"")="","",IFERROR(INDEX('RAID Log'!$1:$1048576,$B26,MATCH("RAID Owner",'RAID Log'!$1:$1,0)),"")))</f>
        <v/>
      </c>
      <c r="N26" s="33" t="str">
        <f>IF($B26="","",IF(IFERROR(INDEX('RAID Log'!$1:$1048576,$B26,MATCH("Date Raised",'RAID Log'!$1:$1,0)),"")="","",IFERROR(INDEX('RAID Log'!$1:$1048576,$B26,MATCH("Date Raised",'RAID Log'!$1:$1,0)),"")))</f>
        <v/>
      </c>
      <c r="O26" s="33" t="str">
        <f>IF($B26="","",IF(IFERROR(INDEX('RAID Log'!$1:$1048576,$B26,MATCH("Closed Date",'RAID Log'!$1:$1,0)),"")="","",IFERROR(INDEX('RAID Log'!$1:$1048576,$B26,MATCH("Closed Date",'RAID Log'!$1:$1,0)),"")))</f>
        <v/>
      </c>
      <c r="P26" s="31" t="str">
        <f>IF($B26="","",IF(IFERROR(INDEX('RAID Log'!$1:$1048576,$B26,MATCH("Mitigation Strategy",'RAID Log'!$1:$1,0)),"")="","",IFERROR(INDEX('RAID Log'!$1:$1048576,$B26,MATCH("Mitigation Strategy",'RAID Log'!$1:$1,0)),"")))</f>
        <v/>
      </c>
      <c r="Q26" s="34" t="str">
        <f>IF($B26="","",IF(IFERROR(INDEX('RAID Log'!$1:$1048576,$B26,MATCH("RAID Response/Plan",'RAID Log'!$1:$1,0)),"")="","",IFERROR(INDEX('RAID Log'!$1:$1048576,$B26,MATCH("RAID Response/Plan",'RAID Log'!$1:$1,0)),"")))</f>
        <v/>
      </c>
    </row>
    <row r="27" spans="1:40" ht="15" customHeight="1" thickTop="1" thickBot="1" x14ac:dyDescent="0.3">
      <c r="A27" s="28" t="str">
        <f>IF($B27="","",IF(IFERROR(INDEX('RAID Log'!$1:$1048576,$B27,MATCH("RAID ID",'RAID Log'!$1:$1,0)),"")="","",IFERROR(INDEX('RAID Log'!$1:$1048576,$B27,MATCH("RAID ID",'RAID Log'!$1:$1,0)),"")))</f>
        <v/>
      </c>
      <c r="B27" s="29" t="str">
        <f>IFERROR(MATCH(ROW()-1,'RAID Log'!$S:$S,0),"")</f>
        <v/>
      </c>
      <c r="C27" s="31" t="str">
        <f>IF($B27="","",IF(IFERROR(INDEX('RAID Log'!$1:$1048576,$B27,MATCH("Description",'RAID Log'!$1:$1,0)),"")="","",IFERROR(INDEX('RAID Log'!$1:$1048576,$B27,MATCH("Description",'RAID Log'!$1:$1,0)),"")))</f>
        <v/>
      </c>
      <c r="D27" s="31" t="str">
        <f>IF($B27="","",IF(IFERROR(INDEX('RAID Log'!$1:$1048576,$B27,MATCH("Impact/Effect of the RAID",'RAID Log'!$1:$1,0)),"")="","",IFERROR(INDEX('RAID Log'!$1:$1048576,$B27,MATCH("Impact/Effect of the RAID",'RAID Log'!$1:$1,0)),"")))</f>
        <v/>
      </c>
      <c r="E27" s="31" t="str">
        <f>IF($B27="","",IF(IFERROR(INDEX('RAID Log'!$1:$1048576,$B27,MATCH("Impact Area",'RAID Log'!$1:$1,0)),"")="","",IFERROR(INDEX('RAID Log'!$1:$1048576,$B27,MATCH("Impact Area",'RAID Log'!$1:$1,0)),"")))</f>
        <v/>
      </c>
      <c r="F27" s="31" t="str">
        <f>IF($B27="","",IF(IFERROR(INDEX('RAID Log'!$1:$1048576,$B27,MATCH("Impact Area",'RAID Log'!$1:$1,0)),"")="","",IFERROR(INDEX('RAID Log'!$1:$1048576,$B27,MATCH("Impact Area",'RAID Log'!$1:$1,0)),"")))</f>
        <v/>
      </c>
      <c r="G27" s="31" t="str">
        <f>IF($B27="","",IF(IFERROR(INDEX('RAID Log'!$1:$1048576,$B27,MATCH("Impact Rating",'RAID Log'!$1:$1,0)),"")="","",IFERROR(INDEX('RAID Log'!$1:$1048576,$B27,MATCH("Impact Rating",'RAID Log'!$1:$1,0)),"")))</f>
        <v/>
      </c>
      <c r="H27" s="31" t="str">
        <f>IF($B27="","",IF(IFERROR(INDEX('RAID Log'!$1:$1048576,$B27,MATCH("Initial Probability",'RAID Log'!$1:$1,0)),"")="","",IFERROR(INDEX('RAID Log'!$1:$1048576,$B27,MATCH("Initial Probability",'RAID Log'!$1:$1,0)),"")))</f>
        <v/>
      </c>
      <c r="I27" s="32" t="str">
        <f t="shared" si="0"/>
        <v/>
      </c>
      <c r="J27" s="31" t="str">
        <f t="shared" si="1"/>
        <v/>
      </c>
      <c r="K27" s="32" t="str">
        <f t="shared" si="2"/>
        <v/>
      </c>
      <c r="L27" s="31" t="str">
        <f>IF($B27="","",IF(IFERROR(INDEX('RAID Log'!$1:$1048576,$B27,MATCH("Status",'RAID Log'!$1:$1,0)),"")="","",IFERROR(INDEX('RAID Log'!$1:$1048576,$B27,MATCH("Status",'RAID Log'!$1:$1,0)),"")))</f>
        <v/>
      </c>
      <c r="M27" s="31" t="str">
        <f>IF($B27="","",IF(IFERROR(INDEX('RAID Log'!$1:$1048576,$B27,MATCH("RAID Owner",'RAID Log'!$1:$1,0)),"")="","",IFERROR(INDEX('RAID Log'!$1:$1048576,$B27,MATCH("RAID Owner",'RAID Log'!$1:$1,0)),"")))</f>
        <v/>
      </c>
      <c r="N27" s="33" t="str">
        <f>IF($B27="","",IF(IFERROR(INDEX('RAID Log'!$1:$1048576,$B27,MATCH("Date Raised",'RAID Log'!$1:$1,0)),"")="","",IFERROR(INDEX('RAID Log'!$1:$1048576,$B27,MATCH("Date Raised",'RAID Log'!$1:$1,0)),"")))</f>
        <v/>
      </c>
      <c r="O27" s="33" t="str">
        <f>IF($B27="","",IF(IFERROR(INDEX('RAID Log'!$1:$1048576,$B27,MATCH("Closed Date",'RAID Log'!$1:$1,0)),"")="","",IFERROR(INDEX('RAID Log'!$1:$1048576,$B27,MATCH("Closed Date",'RAID Log'!$1:$1,0)),"")))</f>
        <v/>
      </c>
      <c r="P27" s="31" t="str">
        <f>IF($B27="","",IF(IFERROR(INDEX('RAID Log'!$1:$1048576,$B27,MATCH("Mitigation Strategy",'RAID Log'!$1:$1,0)),"")="","",IFERROR(INDEX('RAID Log'!$1:$1048576,$B27,MATCH("Mitigation Strategy",'RAID Log'!$1:$1,0)),"")))</f>
        <v/>
      </c>
      <c r="Q27" s="34" t="str">
        <f>IF($B27="","",IF(IFERROR(INDEX('RAID Log'!$1:$1048576,$B27,MATCH("RAID Response/Plan",'RAID Log'!$1:$1,0)),"")="","",IFERROR(INDEX('RAID Log'!$1:$1048576,$B27,MATCH("RAID Response/Plan",'RAID Log'!$1:$1,0)),"")))</f>
        <v/>
      </c>
    </row>
    <row r="28" spans="1:40" ht="15" customHeight="1" thickTop="1" thickBot="1" x14ac:dyDescent="0.3">
      <c r="A28" s="28" t="str">
        <f>IF($B28="","",IF(IFERROR(INDEX('RAID Log'!$1:$1048576,$B28,MATCH("RAID ID",'RAID Log'!$1:$1,0)),"")="","",IFERROR(INDEX('RAID Log'!$1:$1048576,$B28,MATCH("RAID ID",'RAID Log'!$1:$1,0)),"")))</f>
        <v/>
      </c>
      <c r="B28" s="29" t="str">
        <f>IFERROR(MATCH(ROW()-1,'RAID Log'!$S:$S,0),"")</f>
        <v/>
      </c>
      <c r="C28" s="31" t="str">
        <f>IF($B28="","",IF(IFERROR(INDEX('RAID Log'!$1:$1048576,$B28,MATCH("Description",'RAID Log'!$1:$1,0)),"")="","",IFERROR(INDEX('RAID Log'!$1:$1048576,$B28,MATCH("Description",'RAID Log'!$1:$1,0)),"")))</f>
        <v/>
      </c>
      <c r="D28" s="31" t="str">
        <f>IF($B28="","",IF(IFERROR(INDEX('RAID Log'!$1:$1048576,$B28,MATCH("Impact/Effect of the RAID",'RAID Log'!$1:$1,0)),"")="","",IFERROR(INDEX('RAID Log'!$1:$1048576,$B28,MATCH("Impact/Effect of the RAID",'RAID Log'!$1:$1,0)),"")))</f>
        <v/>
      </c>
      <c r="E28" s="31" t="str">
        <f>IF($B28="","",IF(IFERROR(INDEX('RAID Log'!$1:$1048576,$B28,MATCH("Impact Area",'RAID Log'!$1:$1,0)),"")="","",IFERROR(INDEX('RAID Log'!$1:$1048576,$B28,MATCH("Impact Area",'RAID Log'!$1:$1,0)),"")))</f>
        <v/>
      </c>
      <c r="F28" s="31" t="str">
        <f>IF($B28="","",IF(IFERROR(INDEX('RAID Log'!$1:$1048576,$B28,MATCH("Impact Area",'RAID Log'!$1:$1,0)),"")="","",IFERROR(INDEX('RAID Log'!$1:$1048576,$B28,MATCH("Impact Area",'RAID Log'!$1:$1,0)),"")))</f>
        <v/>
      </c>
      <c r="G28" s="31" t="str">
        <f>IF($B28="","",IF(IFERROR(INDEX('RAID Log'!$1:$1048576,$B28,MATCH("Impact Rating",'RAID Log'!$1:$1,0)),"")="","",IFERROR(INDEX('RAID Log'!$1:$1048576,$B28,MATCH("Impact Rating",'RAID Log'!$1:$1,0)),"")))</f>
        <v/>
      </c>
      <c r="H28" s="31" t="str">
        <f>IF($B28="","",IF(IFERROR(INDEX('RAID Log'!$1:$1048576,$B28,MATCH("Initial Probability",'RAID Log'!$1:$1,0)),"")="","",IFERROR(INDEX('RAID Log'!$1:$1048576,$B28,MATCH("Initial Probability",'RAID Log'!$1:$1,0)),"")))</f>
        <v/>
      </c>
      <c r="I28" s="32" t="str">
        <f t="shared" si="0"/>
        <v/>
      </c>
      <c r="J28" s="31" t="str">
        <f t="shared" si="1"/>
        <v/>
      </c>
      <c r="K28" s="32" t="str">
        <f t="shared" si="2"/>
        <v/>
      </c>
      <c r="L28" s="31" t="str">
        <f>IF($B28="","",IF(IFERROR(INDEX('RAID Log'!$1:$1048576,$B28,MATCH("Status",'RAID Log'!$1:$1,0)),"")="","",IFERROR(INDEX('RAID Log'!$1:$1048576,$B28,MATCH("Status",'RAID Log'!$1:$1,0)),"")))</f>
        <v/>
      </c>
      <c r="M28" s="31" t="str">
        <f>IF($B28="","",IF(IFERROR(INDEX('RAID Log'!$1:$1048576,$B28,MATCH("RAID Owner",'RAID Log'!$1:$1,0)),"")="","",IFERROR(INDEX('RAID Log'!$1:$1048576,$B28,MATCH("RAID Owner",'RAID Log'!$1:$1,0)),"")))</f>
        <v/>
      </c>
      <c r="N28" s="33" t="str">
        <f>IF($B28="","",IF(IFERROR(INDEX('RAID Log'!$1:$1048576,$B28,MATCH("Date Raised",'RAID Log'!$1:$1,0)),"")="","",IFERROR(INDEX('RAID Log'!$1:$1048576,$B28,MATCH("Date Raised",'RAID Log'!$1:$1,0)),"")))</f>
        <v/>
      </c>
      <c r="O28" s="33" t="str">
        <f>IF($B28="","",IF(IFERROR(INDEX('RAID Log'!$1:$1048576,$B28,MATCH("Closed Date",'RAID Log'!$1:$1,0)),"")="","",IFERROR(INDEX('RAID Log'!$1:$1048576,$B28,MATCH("Closed Date",'RAID Log'!$1:$1,0)),"")))</f>
        <v/>
      </c>
      <c r="P28" s="31" t="str">
        <f>IF($B28="","",IF(IFERROR(INDEX('RAID Log'!$1:$1048576,$B28,MATCH("Mitigation Strategy",'RAID Log'!$1:$1,0)),"")="","",IFERROR(INDEX('RAID Log'!$1:$1048576,$B28,MATCH("Mitigation Strategy",'RAID Log'!$1:$1,0)),"")))</f>
        <v/>
      </c>
      <c r="Q28" s="34" t="str">
        <f>IF($B28="","",IF(IFERROR(INDEX('RAID Log'!$1:$1048576,$B28,MATCH("RAID Response/Plan",'RAID Log'!$1:$1,0)),"")="","",IFERROR(INDEX('RAID Log'!$1:$1048576,$B28,MATCH("RAID Response/Plan",'RAID Log'!$1:$1,0)),"")))</f>
        <v/>
      </c>
    </row>
    <row r="29" spans="1:40" ht="15" customHeight="1" thickTop="1" thickBot="1" x14ac:dyDescent="0.3">
      <c r="A29" s="28" t="str">
        <f>IF($B29="","",IF(IFERROR(INDEX('RAID Log'!$1:$1048576,$B29,MATCH("RAID ID",'RAID Log'!$1:$1,0)),"")="","",IFERROR(INDEX('RAID Log'!$1:$1048576,$B29,MATCH("RAID ID",'RAID Log'!$1:$1,0)),"")))</f>
        <v/>
      </c>
      <c r="B29" s="29" t="str">
        <f>IFERROR(MATCH(ROW()-1,'RAID Log'!$S:$S,0),"")</f>
        <v/>
      </c>
      <c r="C29" s="31" t="str">
        <f>IF($B29="","",IF(IFERROR(INDEX('RAID Log'!$1:$1048576,$B29,MATCH("Description",'RAID Log'!$1:$1,0)),"")="","",IFERROR(INDEX('RAID Log'!$1:$1048576,$B29,MATCH("Description",'RAID Log'!$1:$1,0)),"")))</f>
        <v/>
      </c>
      <c r="D29" s="31" t="str">
        <f>IF($B29="","",IF(IFERROR(INDEX('RAID Log'!$1:$1048576,$B29,MATCH("Impact/Effect of the RAID",'RAID Log'!$1:$1,0)),"")="","",IFERROR(INDEX('RAID Log'!$1:$1048576,$B29,MATCH("Impact/Effect of the RAID",'RAID Log'!$1:$1,0)),"")))</f>
        <v/>
      </c>
      <c r="E29" s="31" t="str">
        <f>IF($B29="","",IF(IFERROR(INDEX('RAID Log'!$1:$1048576,$B29,MATCH("Impact Area",'RAID Log'!$1:$1,0)),"")="","",IFERROR(INDEX('RAID Log'!$1:$1048576,$B29,MATCH("Impact Area",'RAID Log'!$1:$1,0)),"")))</f>
        <v/>
      </c>
      <c r="F29" s="31" t="str">
        <f>IF($B29="","",IF(IFERROR(INDEX('RAID Log'!$1:$1048576,$B29,MATCH("Impact Area",'RAID Log'!$1:$1,0)),"")="","",IFERROR(INDEX('RAID Log'!$1:$1048576,$B29,MATCH("Impact Area",'RAID Log'!$1:$1,0)),"")))</f>
        <v/>
      </c>
      <c r="G29" s="31" t="str">
        <f>IF($B29="","",IF(IFERROR(INDEX('RAID Log'!$1:$1048576,$B29,MATCH("Impact Rating",'RAID Log'!$1:$1,0)),"")="","",IFERROR(INDEX('RAID Log'!$1:$1048576,$B29,MATCH("Impact Rating",'RAID Log'!$1:$1,0)),"")))</f>
        <v/>
      </c>
      <c r="H29" s="31" t="str">
        <f>IF($B29="","",IF(IFERROR(INDEX('RAID Log'!$1:$1048576,$B29,MATCH("Initial Probability",'RAID Log'!$1:$1,0)),"")="","",IFERROR(INDEX('RAID Log'!$1:$1048576,$B29,MATCH("Initial Probability",'RAID Log'!$1:$1,0)),"")))</f>
        <v/>
      </c>
      <c r="I29" s="32" t="str">
        <f t="shared" si="0"/>
        <v/>
      </c>
      <c r="J29" s="31" t="str">
        <f t="shared" si="1"/>
        <v/>
      </c>
      <c r="K29" s="32" t="str">
        <f t="shared" si="2"/>
        <v/>
      </c>
      <c r="L29" s="31" t="str">
        <f>IF($B29="","",IF(IFERROR(INDEX('RAID Log'!$1:$1048576,$B29,MATCH("Status",'RAID Log'!$1:$1,0)),"")="","",IFERROR(INDEX('RAID Log'!$1:$1048576,$B29,MATCH("Status",'RAID Log'!$1:$1,0)),"")))</f>
        <v/>
      </c>
      <c r="M29" s="31" t="str">
        <f>IF($B29="","",IF(IFERROR(INDEX('RAID Log'!$1:$1048576,$B29,MATCH("RAID Owner",'RAID Log'!$1:$1,0)),"")="","",IFERROR(INDEX('RAID Log'!$1:$1048576,$B29,MATCH("RAID Owner",'RAID Log'!$1:$1,0)),"")))</f>
        <v/>
      </c>
      <c r="N29" s="33" t="str">
        <f>IF($B29="","",IF(IFERROR(INDEX('RAID Log'!$1:$1048576,$B29,MATCH("Date Raised",'RAID Log'!$1:$1,0)),"")="","",IFERROR(INDEX('RAID Log'!$1:$1048576,$B29,MATCH("Date Raised",'RAID Log'!$1:$1,0)),"")))</f>
        <v/>
      </c>
      <c r="O29" s="33" t="str">
        <f>IF($B29="","",IF(IFERROR(INDEX('RAID Log'!$1:$1048576,$B29,MATCH("Closed Date",'RAID Log'!$1:$1,0)),"")="","",IFERROR(INDEX('RAID Log'!$1:$1048576,$B29,MATCH("Closed Date",'RAID Log'!$1:$1,0)),"")))</f>
        <v/>
      </c>
      <c r="P29" s="31" t="str">
        <f>IF($B29="","",IF(IFERROR(INDEX('RAID Log'!$1:$1048576,$B29,MATCH("Mitigation Strategy",'RAID Log'!$1:$1,0)),"")="","",IFERROR(INDEX('RAID Log'!$1:$1048576,$B29,MATCH("Mitigation Strategy",'RAID Log'!$1:$1,0)),"")))</f>
        <v/>
      </c>
      <c r="Q29" s="34" t="str">
        <f>IF($B29="","",IF(IFERROR(INDEX('RAID Log'!$1:$1048576,$B29,MATCH("RAID Response/Plan",'RAID Log'!$1:$1,0)),"")="","",IFERROR(INDEX('RAID Log'!$1:$1048576,$B29,MATCH("RAID Response/Plan",'RAID Log'!$1:$1,0)),"")))</f>
        <v/>
      </c>
    </row>
    <row r="30" spans="1:40" ht="15" customHeight="1" thickTop="1" thickBot="1" x14ac:dyDescent="0.3">
      <c r="A30" s="28" t="str">
        <f>IF($B30="","",IF(IFERROR(INDEX('RAID Log'!$1:$1048576,$B30,MATCH("RAID ID",'RAID Log'!$1:$1,0)),"")="","",IFERROR(INDEX('RAID Log'!$1:$1048576,$B30,MATCH("RAID ID",'RAID Log'!$1:$1,0)),"")))</f>
        <v/>
      </c>
      <c r="B30" s="29" t="str">
        <f>IFERROR(MATCH(ROW()-1,'RAID Log'!$S:$S,0),"")</f>
        <v/>
      </c>
      <c r="C30" s="31" t="str">
        <f>IF($B30="","",IF(IFERROR(INDEX('RAID Log'!$1:$1048576,$B30,MATCH("Description",'RAID Log'!$1:$1,0)),"")="","",IFERROR(INDEX('RAID Log'!$1:$1048576,$B30,MATCH("Description",'RAID Log'!$1:$1,0)),"")))</f>
        <v/>
      </c>
      <c r="D30" s="31" t="str">
        <f>IF($B30="","",IF(IFERROR(INDEX('RAID Log'!$1:$1048576,$B30,MATCH("Impact/Effect of the RAID",'RAID Log'!$1:$1,0)),"")="","",IFERROR(INDEX('RAID Log'!$1:$1048576,$B30,MATCH("Impact/Effect of the RAID",'RAID Log'!$1:$1,0)),"")))</f>
        <v/>
      </c>
      <c r="E30" s="31" t="str">
        <f>IF($B30="","",IF(IFERROR(INDEX('RAID Log'!$1:$1048576,$B30,MATCH("Impact Area",'RAID Log'!$1:$1,0)),"")="","",IFERROR(INDEX('RAID Log'!$1:$1048576,$B30,MATCH("Impact Area",'RAID Log'!$1:$1,0)),"")))</f>
        <v/>
      </c>
      <c r="F30" s="31" t="str">
        <f>IF($B30="","",IF(IFERROR(INDEX('RAID Log'!$1:$1048576,$B30,MATCH("Impact Area",'RAID Log'!$1:$1,0)),"")="","",IFERROR(INDEX('RAID Log'!$1:$1048576,$B30,MATCH("Impact Area",'RAID Log'!$1:$1,0)),"")))</f>
        <v/>
      </c>
      <c r="G30" s="31" t="str">
        <f>IF($B30="","",IF(IFERROR(INDEX('RAID Log'!$1:$1048576,$B30,MATCH("Impact Rating",'RAID Log'!$1:$1,0)),"")="","",IFERROR(INDEX('RAID Log'!$1:$1048576,$B30,MATCH("Impact Rating",'RAID Log'!$1:$1,0)),"")))</f>
        <v/>
      </c>
      <c r="H30" s="31" t="str">
        <f>IF($B30="","",IF(IFERROR(INDEX('RAID Log'!$1:$1048576,$B30,MATCH("Initial Probability",'RAID Log'!$1:$1,0)),"")="","",IFERROR(INDEX('RAID Log'!$1:$1048576,$B30,MATCH("Initial Probability",'RAID Log'!$1:$1,0)),"")))</f>
        <v/>
      </c>
      <c r="I30" s="32" t="str">
        <f t="shared" si="0"/>
        <v/>
      </c>
      <c r="J30" s="31" t="str">
        <f t="shared" si="1"/>
        <v/>
      </c>
      <c r="K30" s="32" t="str">
        <f t="shared" si="2"/>
        <v/>
      </c>
      <c r="L30" s="31" t="str">
        <f>IF($B30="","",IF(IFERROR(INDEX('RAID Log'!$1:$1048576,$B30,MATCH("Status",'RAID Log'!$1:$1,0)),"")="","",IFERROR(INDEX('RAID Log'!$1:$1048576,$B30,MATCH("Status",'RAID Log'!$1:$1,0)),"")))</f>
        <v/>
      </c>
      <c r="M30" s="31" t="str">
        <f>IF($B30="","",IF(IFERROR(INDEX('RAID Log'!$1:$1048576,$B30,MATCH("RAID Owner",'RAID Log'!$1:$1,0)),"")="","",IFERROR(INDEX('RAID Log'!$1:$1048576,$B30,MATCH("RAID Owner",'RAID Log'!$1:$1,0)),"")))</f>
        <v/>
      </c>
      <c r="N30" s="33" t="str">
        <f>IF($B30="","",IF(IFERROR(INDEX('RAID Log'!$1:$1048576,$B30,MATCH("Date Raised",'RAID Log'!$1:$1,0)),"")="","",IFERROR(INDEX('RAID Log'!$1:$1048576,$B30,MATCH("Date Raised",'RAID Log'!$1:$1,0)),"")))</f>
        <v/>
      </c>
      <c r="O30" s="33" t="str">
        <f>IF($B30="","",IF(IFERROR(INDEX('RAID Log'!$1:$1048576,$B30,MATCH("Closed Date",'RAID Log'!$1:$1,0)),"")="","",IFERROR(INDEX('RAID Log'!$1:$1048576,$B30,MATCH("Closed Date",'RAID Log'!$1:$1,0)),"")))</f>
        <v/>
      </c>
      <c r="P30" s="31" t="str">
        <f>IF($B30="","",IF(IFERROR(INDEX('RAID Log'!$1:$1048576,$B30,MATCH("Mitigation Strategy",'RAID Log'!$1:$1,0)),"")="","",IFERROR(INDEX('RAID Log'!$1:$1048576,$B30,MATCH("Mitigation Strategy",'RAID Log'!$1:$1,0)),"")))</f>
        <v/>
      </c>
      <c r="Q30" s="34" t="str">
        <f>IF($B30="","",IF(IFERROR(INDEX('RAID Log'!$1:$1048576,$B30,MATCH("RAID Response/Plan",'RAID Log'!$1:$1,0)),"")="","",IFERROR(INDEX('RAID Log'!$1:$1048576,$B30,MATCH("RAID Response/Plan",'RAID Log'!$1:$1,0)),"")))</f>
        <v/>
      </c>
    </row>
    <row r="31" spans="1:40" ht="15" customHeight="1" thickTop="1" thickBot="1" x14ac:dyDescent="0.3">
      <c r="A31" s="28" t="str">
        <f>IF($B31="","",IF(IFERROR(INDEX('RAID Log'!$1:$1048576,$B31,MATCH("RAID ID",'RAID Log'!$1:$1,0)),"")="","",IFERROR(INDEX('RAID Log'!$1:$1048576,$B31,MATCH("RAID ID",'RAID Log'!$1:$1,0)),"")))</f>
        <v/>
      </c>
      <c r="B31" s="29" t="str">
        <f>IFERROR(MATCH(ROW()-1,'RAID Log'!$S:$S,0),"")</f>
        <v/>
      </c>
      <c r="C31" s="31" t="str">
        <f>IF($B31="","",IF(IFERROR(INDEX('RAID Log'!$1:$1048576,$B31,MATCH("Description",'RAID Log'!$1:$1,0)),"")="","",IFERROR(INDEX('RAID Log'!$1:$1048576,$B31,MATCH("Description",'RAID Log'!$1:$1,0)),"")))</f>
        <v/>
      </c>
      <c r="D31" s="31" t="str">
        <f>IF($B31="","",IF(IFERROR(INDEX('RAID Log'!$1:$1048576,$B31,MATCH("Impact/Effect of the RAID",'RAID Log'!$1:$1,0)),"")="","",IFERROR(INDEX('RAID Log'!$1:$1048576,$B31,MATCH("Impact/Effect of the RAID",'RAID Log'!$1:$1,0)),"")))</f>
        <v/>
      </c>
      <c r="E31" s="31" t="str">
        <f>IF($B31="","",IF(IFERROR(INDEX('RAID Log'!$1:$1048576,$B31,MATCH("Impact Area",'RAID Log'!$1:$1,0)),"")="","",IFERROR(INDEX('RAID Log'!$1:$1048576,$B31,MATCH("Impact Area",'RAID Log'!$1:$1,0)),"")))</f>
        <v/>
      </c>
      <c r="F31" s="31" t="str">
        <f>IF($B31="","",IF(IFERROR(INDEX('RAID Log'!$1:$1048576,$B31,MATCH("Impact Area",'RAID Log'!$1:$1,0)),"")="","",IFERROR(INDEX('RAID Log'!$1:$1048576,$B31,MATCH("Impact Area",'RAID Log'!$1:$1,0)),"")))</f>
        <v/>
      </c>
      <c r="G31" s="31" t="str">
        <f>IF($B31="","",IF(IFERROR(INDEX('RAID Log'!$1:$1048576,$B31,MATCH("Impact Rating",'RAID Log'!$1:$1,0)),"")="","",IFERROR(INDEX('RAID Log'!$1:$1048576,$B31,MATCH("Impact Rating",'RAID Log'!$1:$1,0)),"")))</f>
        <v/>
      </c>
      <c r="H31" s="31" t="str">
        <f>IF($B31="","",IF(IFERROR(INDEX('RAID Log'!$1:$1048576,$B31,MATCH("Initial Probability",'RAID Log'!$1:$1,0)),"")="","",IFERROR(INDEX('RAID Log'!$1:$1048576,$B31,MATCH("Initial Probability",'RAID Log'!$1:$1,0)),"")))</f>
        <v/>
      </c>
      <c r="I31" s="32" t="str">
        <f t="shared" si="0"/>
        <v/>
      </c>
      <c r="J31" s="31" t="str">
        <f t="shared" si="1"/>
        <v/>
      </c>
      <c r="K31" s="32" t="str">
        <f t="shared" si="2"/>
        <v/>
      </c>
      <c r="L31" s="31" t="str">
        <f>IF($B31="","",IF(IFERROR(INDEX('RAID Log'!$1:$1048576,$B31,MATCH("Status",'RAID Log'!$1:$1,0)),"")="","",IFERROR(INDEX('RAID Log'!$1:$1048576,$B31,MATCH("Status",'RAID Log'!$1:$1,0)),"")))</f>
        <v/>
      </c>
      <c r="M31" s="31" t="str">
        <f>IF($B31="","",IF(IFERROR(INDEX('RAID Log'!$1:$1048576,$B31,MATCH("RAID Owner",'RAID Log'!$1:$1,0)),"")="","",IFERROR(INDEX('RAID Log'!$1:$1048576,$B31,MATCH("RAID Owner",'RAID Log'!$1:$1,0)),"")))</f>
        <v/>
      </c>
      <c r="N31" s="33" t="str">
        <f>IF($B31="","",IF(IFERROR(INDEX('RAID Log'!$1:$1048576,$B31,MATCH("Date Raised",'RAID Log'!$1:$1,0)),"")="","",IFERROR(INDEX('RAID Log'!$1:$1048576,$B31,MATCH("Date Raised",'RAID Log'!$1:$1,0)),"")))</f>
        <v/>
      </c>
      <c r="O31" s="33" t="str">
        <f>IF($B31="","",IF(IFERROR(INDEX('RAID Log'!$1:$1048576,$B31,MATCH("Closed Date",'RAID Log'!$1:$1,0)),"")="","",IFERROR(INDEX('RAID Log'!$1:$1048576,$B31,MATCH("Closed Date",'RAID Log'!$1:$1,0)),"")))</f>
        <v/>
      </c>
      <c r="P31" s="31" t="str">
        <f>IF($B31="","",IF(IFERROR(INDEX('RAID Log'!$1:$1048576,$B31,MATCH("Mitigation Strategy",'RAID Log'!$1:$1,0)),"")="","",IFERROR(INDEX('RAID Log'!$1:$1048576,$B31,MATCH("Mitigation Strategy",'RAID Log'!$1:$1,0)),"")))</f>
        <v/>
      </c>
      <c r="Q31" s="34" t="str">
        <f>IF($B31="","",IF(IFERROR(INDEX('RAID Log'!$1:$1048576,$B31,MATCH("RAID Response/Plan",'RAID Log'!$1:$1,0)),"")="","",IFERROR(INDEX('RAID Log'!$1:$1048576,$B31,MATCH("RAID Response/Plan",'RAID Log'!$1:$1,0)),"")))</f>
        <v/>
      </c>
    </row>
    <row r="32" spans="1:40" ht="15" customHeight="1" thickTop="1" thickBot="1" x14ac:dyDescent="0.3">
      <c r="A32" s="28" t="str">
        <f>IF($B32="","",IF(IFERROR(INDEX('RAID Log'!$1:$1048576,$B32,MATCH("RAID ID",'RAID Log'!$1:$1,0)),"")="","",IFERROR(INDEX('RAID Log'!$1:$1048576,$B32,MATCH("RAID ID",'RAID Log'!$1:$1,0)),"")))</f>
        <v/>
      </c>
      <c r="B32" s="29" t="str">
        <f>IFERROR(MATCH(ROW()-1,'RAID Log'!$S:$S,0),"")</f>
        <v/>
      </c>
      <c r="C32" s="31" t="str">
        <f>IF($B32="","",IF(IFERROR(INDEX('RAID Log'!$1:$1048576,$B32,MATCH("Description",'RAID Log'!$1:$1,0)),"")="","",IFERROR(INDEX('RAID Log'!$1:$1048576,$B32,MATCH("Description",'RAID Log'!$1:$1,0)),"")))</f>
        <v/>
      </c>
      <c r="D32" s="31" t="str">
        <f>IF($B32="","",IF(IFERROR(INDEX('RAID Log'!$1:$1048576,$B32,MATCH("Impact/Effect of the RAID",'RAID Log'!$1:$1,0)),"")="","",IFERROR(INDEX('RAID Log'!$1:$1048576,$B32,MATCH("Impact/Effect of the RAID",'RAID Log'!$1:$1,0)),"")))</f>
        <v/>
      </c>
      <c r="E32" s="31" t="str">
        <f>IF($B32="","",IF(IFERROR(INDEX('RAID Log'!$1:$1048576,$B32,MATCH("Impact Area",'RAID Log'!$1:$1,0)),"")="","",IFERROR(INDEX('RAID Log'!$1:$1048576,$B32,MATCH("Impact Area",'RAID Log'!$1:$1,0)),"")))</f>
        <v/>
      </c>
      <c r="F32" s="31" t="str">
        <f>IF($B32="","",IF(IFERROR(INDEX('RAID Log'!$1:$1048576,$B32,MATCH("Impact Area",'RAID Log'!$1:$1,0)),"")="","",IFERROR(INDEX('RAID Log'!$1:$1048576,$B32,MATCH("Impact Area",'RAID Log'!$1:$1,0)),"")))</f>
        <v/>
      </c>
      <c r="G32" s="31" t="str">
        <f>IF($B32="","",IF(IFERROR(INDEX('RAID Log'!$1:$1048576,$B32,MATCH("Impact Rating",'RAID Log'!$1:$1,0)),"")="","",IFERROR(INDEX('RAID Log'!$1:$1048576,$B32,MATCH("Impact Rating",'RAID Log'!$1:$1,0)),"")))</f>
        <v/>
      </c>
      <c r="H32" s="31" t="str">
        <f>IF($B32="","",IF(IFERROR(INDEX('RAID Log'!$1:$1048576,$B32,MATCH("Initial Probability",'RAID Log'!$1:$1,0)),"")="","",IFERROR(INDEX('RAID Log'!$1:$1048576,$B32,MATCH("Initial Probability",'RAID Log'!$1:$1,0)),"")))</f>
        <v/>
      </c>
      <c r="I32" s="32" t="str">
        <f t="shared" si="0"/>
        <v/>
      </c>
      <c r="J32" s="31" t="str">
        <f t="shared" si="1"/>
        <v/>
      </c>
      <c r="K32" s="32" t="str">
        <f t="shared" si="2"/>
        <v/>
      </c>
      <c r="L32" s="31" t="str">
        <f>IF($B32="","",IF(IFERROR(INDEX('RAID Log'!$1:$1048576,$B32,MATCH("Status",'RAID Log'!$1:$1,0)),"")="","",IFERROR(INDEX('RAID Log'!$1:$1048576,$B32,MATCH("Status",'RAID Log'!$1:$1,0)),"")))</f>
        <v/>
      </c>
      <c r="M32" s="31" t="str">
        <f>IF($B32="","",IF(IFERROR(INDEX('RAID Log'!$1:$1048576,$B32,MATCH("RAID Owner",'RAID Log'!$1:$1,0)),"")="","",IFERROR(INDEX('RAID Log'!$1:$1048576,$B32,MATCH("RAID Owner",'RAID Log'!$1:$1,0)),"")))</f>
        <v/>
      </c>
      <c r="N32" s="33" t="str">
        <f>IF($B32="","",IF(IFERROR(INDEX('RAID Log'!$1:$1048576,$B32,MATCH("Date Raised",'RAID Log'!$1:$1,0)),"")="","",IFERROR(INDEX('RAID Log'!$1:$1048576,$B32,MATCH("Date Raised",'RAID Log'!$1:$1,0)),"")))</f>
        <v/>
      </c>
      <c r="O32" s="33" t="str">
        <f>IF($B32="","",IF(IFERROR(INDEX('RAID Log'!$1:$1048576,$B32,MATCH("Closed Date",'RAID Log'!$1:$1,0)),"")="","",IFERROR(INDEX('RAID Log'!$1:$1048576,$B32,MATCH("Closed Date",'RAID Log'!$1:$1,0)),"")))</f>
        <v/>
      </c>
      <c r="P32" s="31" t="str">
        <f>IF($B32="","",IF(IFERROR(INDEX('RAID Log'!$1:$1048576,$B32,MATCH("Mitigation Strategy",'RAID Log'!$1:$1,0)),"")="","",IFERROR(INDEX('RAID Log'!$1:$1048576,$B32,MATCH("Mitigation Strategy",'RAID Log'!$1:$1,0)),"")))</f>
        <v/>
      </c>
      <c r="Q32" s="34" t="str">
        <f>IF($B32="","",IF(IFERROR(INDEX('RAID Log'!$1:$1048576,$B32,MATCH("RAID Response/Plan",'RAID Log'!$1:$1,0)),"")="","",IFERROR(INDEX('RAID Log'!$1:$1048576,$B32,MATCH("RAID Response/Plan",'RAID Log'!$1:$1,0)),"")))</f>
        <v/>
      </c>
    </row>
    <row r="33" spans="1:17" ht="15" customHeight="1" thickTop="1" thickBot="1" x14ac:dyDescent="0.3">
      <c r="A33" s="28" t="str">
        <f>IF($B33="","",IF(IFERROR(INDEX('RAID Log'!$1:$1048576,$B33,MATCH("RAID ID",'RAID Log'!$1:$1,0)),"")="","",IFERROR(INDEX('RAID Log'!$1:$1048576,$B33,MATCH("RAID ID",'RAID Log'!$1:$1,0)),"")))</f>
        <v/>
      </c>
      <c r="B33" s="29" t="str">
        <f>IFERROR(MATCH(ROW()-1,'RAID Log'!$S:$S,0),"")</f>
        <v/>
      </c>
      <c r="C33" s="31" t="str">
        <f>IF($B33="","",IF(IFERROR(INDEX('RAID Log'!$1:$1048576,$B33,MATCH("Description",'RAID Log'!$1:$1,0)),"")="","",IFERROR(INDEX('RAID Log'!$1:$1048576,$B33,MATCH("Description",'RAID Log'!$1:$1,0)),"")))</f>
        <v/>
      </c>
      <c r="D33" s="31" t="str">
        <f>IF($B33="","",IF(IFERROR(INDEX('RAID Log'!$1:$1048576,$B33,MATCH("Impact/Effect of the RAID",'RAID Log'!$1:$1,0)),"")="","",IFERROR(INDEX('RAID Log'!$1:$1048576,$B33,MATCH("Impact/Effect of the RAID",'RAID Log'!$1:$1,0)),"")))</f>
        <v/>
      </c>
      <c r="E33" s="31" t="str">
        <f>IF($B33="","",IF(IFERROR(INDEX('RAID Log'!$1:$1048576,$B33,MATCH("Impact Area",'RAID Log'!$1:$1,0)),"")="","",IFERROR(INDEX('RAID Log'!$1:$1048576,$B33,MATCH("Impact Area",'RAID Log'!$1:$1,0)),"")))</f>
        <v/>
      </c>
      <c r="F33" s="31" t="str">
        <f>IF($B33="","",IF(IFERROR(INDEX('RAID Log'!$1:$1048576,$B33,MATCH("Impact Area",'RAID Log'!$1:$1,0)),"")="","",IFERROR(INDEX('RAID Log'!$1:$1048576,$B33,MATCH("Impact Area",'RAID Log'!$1:$1,0)),"")))</f>
        <v/>
      </c>
      <c r="G33" s="31" t="str">
        <f>IF($B33="","",IF(IFERROR(INDEX('RAID Log'!$1:$1048576,$B33,MATCH("Impact Rating",'RAID Log'!$1:$1,0)),"")="","",IFERROR(INDEX('RAID Log'!$1:$1048576,$B33,MATCH("Impact Rating",'RAID Log'!$1:$1,0)),"")))</f>
        <v/>
      </c>
      <c r="H33" s="31" t="str">
        <f>IF($B33="","",IF(IFERROR(INDEX('RAID Log'!$1:$1048576,$B33,MATCH("Initial Probability",'RAID Log'!$1:$1,0)),"")="","",IFERROR(INDEX('RAID Log'!$1:$1048576,$B33,MATCH("Initial Probability",'RAID Log'!$1:$1,0)),"")))</f>
        <v/>
      </c>
      <c r="I33" s="32" t="str">
        <f t="shared" si="0"/>
        <v/>
      </c>
      <c r="J33" s="31" t="str">
        <f t="shared" si="1"/>
        <v/>
      </c>
      <c r="K33" s="32" t="str">
        <f t="shared" si="2"/>
        <v/>
      </c>
      <c r="L33" s="31" t="str">
        <f>IF($B33="","",IF(IFERROR(INDEX('RAID Log'!$1:$1048576,$B33,MATCH("Status",'RAID Log'!$1:$1,0)),"")="","",IFERROR(INDEX('RAID Log'!$1:$1048576,$B33,MATCH("Status",'RAID Log'!$1:$1,0)),"")))</f>
        <v/>
      </c>
      <c r="M33" s="31" t="str">
        <f>IF($B33="","",IF(IFERROR(INDEX('RAID Log'!$1:$1048576,$B33,MATCH("RAID Owner",'RAID Log'!$1:$1,0)),"")="","",IFERROR(INDEX('RAID Log'!$1:$1048576,$B33,MATCH("RAID Owner",'RAID Log'!$1:$1,0)),"")))</f>
        <v/>
      </c>
      <c r="N33" s="33" t="str">
        <f>IF($B33="","",IF(IFERROR(INDEX('RAID Log'!$1:$1048576,$B33,MATCH("Date Raised",'RAID Log'!$1:$1,0)),"")="","",IFERROR(INDEX('RAID Log'!$1:$1048576,$B33,MATCH("Date Raised",'RAID Log'!$1:$1,0)),"")))</f>
        <v/>
      </c>
      <c r="O33" s="33" t="str">
        <f>IF($B33="","",IF(IFERROR(INDEX('RAID Log'!$1:$1048576,$B33,MATCH("Closed Date",'RAID Log'!$1:$1,0)),"")="","",IFERROR(INDEX('RAID Log'!$1:$1048576,$B33,MATCH("Closed Date",'RAID Log'!$1:$1,0)),"")))</f>
        <v/>
      </c>
      <c r="P33" s="31" t="str">
        <f>IF($B33="","",IF(IFERROR(INDEX('RAID Log'!$1:$1048576,$B33,MATCH("Mitigation Strategy",'RAID Log'!$1:$1,0)),"")="","",IFERROR(INDEX('RAID Log'!$1:$1048576,$B33,MATCH("Mitigation Strategy",'RAID Log'!$1:$1,0)),"")))</f>
        <v/>
      </c>
      <c r="Q33" s="34" t="str">
        <f>IF($B33="","",IF(IFERROR(INDEX('RAID Log'!$1:$1048576,$B33,MATCH("RAID Response/Plan",'RAID Log'!$1:$1,0)),"")="","",IFERROR(INDEX('RAID Log'!$1:$1048576,$B33,MATCH("RAID Response/Plan",'RAID Log'!$1:$1,0)),"")))</f>
        <v/>
      </c>
    </row>
    <row r="34" spans="1:17" ht="15" customHeight="1" thickTop="1" thickBot="1" x14ac:dyDescent="0.3">
      <c r="A34" s="28" t="str">
        <f>IF($B34="","",IF(IFERROR(INDEX('RAID Log'!$1:$1048576,$B34,MATCH("RAID ID",'RAID Log'!$1:$1,0)),"")="","",IFERROR(INDEX('RAID Log'!$1:$1048576,$B34,MATCH("RAID ID",'RAID Log'!$1:$1,0)),"")))</f>
        <v/>
      </c>
      <c r="B34" s="29" t="str">
        <f>IFERROR(MATCH(ROW()-1,'RAID Log'!$S:$S,0),"")</f>
        <v/>
      </c>
      <c r="C34" s="31" t="str">
        <f>IF($B34="","",IF(IFERROR(INDEX('RAID Log'!$1:$1048576,$B34,MATCH("Description",'RAID Log'!$1:$1,0)),"")="","",IFERROR(INDEX('RAID Log'!$1:$1048576,$B34,MATCH("Description",'RAID Log'!$1:$1,0)),"")))</f>
        <v/>
      </c>
      <c r="D34" s="31" t="str">
        <f>IF($B34="","",IF(IFERROR(INDEX('RAID Log'!$1:$1048576,$B34,MATCH("Impact/Effect of the RAID",'RAID Log'!$1:$1,0)),"")="","",IFERROR(INDEX('RAID Log'!$1:$1048576,$B34,MATCH("Impact/Effect of the RAID",'RAID Log'!$1:$1,0)),"")))</f>
        <v/>
      </c>
      <c r="E34" s="31" t="str">
        <f>IF($B34="","",IF(IFERROR(INDEX('RAID Log'!$1:$1048576,$B34,MATCH("Impact Area",'RAID Log'!$1:$1,0)),"")="","",IFERROR(INDEX('RAID Log'!$1:$1048576,$B34,MATCH("Impact Area",'RAID Log'!$1:$1,0)),"")))</f>
        <v/>
      </c>
      <c r="F34" s="31" t="str">
        <f>IF($B34="","",IF(IFERROR(INDEX('RAID Log'!$1:$1048576,$B34,MATCH("Impact Area",'RAID Log'!$1:$1,0)),"")="","",IFERROR(INDEX('RAID Log'!$1:$1048576,$B34,MATCH("Impact Area",'RAID Log'!$1:$1,0)),"")))</f>
        <v/>
      </c>
      <c r="G34" s="31" t="str">
        <f>IF($B34="","",IF(IFERROR(INDEX('RAID Log'!$1:$1048576,$B34,MATCH("Impact Rating",'RAID Log'!$1:$1,0)),"")="","",IFERROR(INDEX('RAID Log'!$1:$1048576,$B34,MATCH("Impact Rating",'RAID Log'!$1:$1,0)),"")))</f>
        <v/>
      </c>
      <c r="H34" s="31" t="str">
        <f>IF($B34="","",IF(IFERROR(INDEX('RAID Log'!$1:$1048576,$B34,MATCH("Initial Probability",'RAID Log'!$1:$1,0)),"")="","",IFERROR(INDEX('RAID Log'!$1:$1048576,$B34,MATCH("Initial Probability",'RAID Log'!$1:$1,0)),"")))</f>
        <v/>
      </c>
      <c r="I34" s="32" t="str">
        <f t="shared" si="0"/>
        <v/>
      </c>
      <c r="J34" s="31" t="str">
        <f t="shared" si="1"/>
        <v/>
      </c>
      <c r="K34" s="32" t="str">
        <f t="shared" ref="K34:K52" si="3">IF(OR($B34="",UPPER($L34)="CLOSED"),"",COUNTIFS($L$2:$L$52,"&lt;&gt;Closed",$I$2:$I$52,"&gt;"&amp;$I34)+COUNTIFS($L$2:$L$52,"&lt;&gt;Closed",$I$2:$I$52,$I34,$N$2:$N$52,"&lt;"&amp;$N34)+COUNTIFS($L$2:$L$52,"&lt;&gt;Closed",$I$2:$I$52,$I34,$N$2:$N$52,$N34,$B$2:$B$52,"&lt;"&amp;$B34)+1)</f>
        <v/>
      </c>
      <c r="L34" s="31" t="str">
        <f>IF($B34="","",IF(IFERROR(INDEX('RAID Log'!$1:$1048576,$B34,MATCH("Status",'RAID Log'!$1:$1,0)),"")="","",IFERROR(INDEX('RAID Log'!$1:$1048576,$B34,MATCH("Status",'RAID Log'!$1:$1,0)),"")))</f>
        <v/>
      </c>
      <c r="M34" s="31" t="str">
        <f>IF($B34="","",IF(IFERROR(INDEX('RAID Log'!$1:$1048576,$B34,MATCH("RAID Owner",'RAID Log'!$1:$1,0)),"")="","",IFERROR(INDEX('RAID Log'!$1:$1048576,$B34,MATCH("RAID Owner",'RAID Log'!$1:$1,0)),"")))</f>
        <v/>
      </c>
      <c r="N34" s="33" t="str">
        <f>IF($B34="","",IF(IFERROR(INDEX('RAID Log'!$1:$1048576,$B34,MATCH("Date Raised",'RAID Log'!$1:$1,0)),"")="","",IFERROR(INDEX('RAID Log'!$1:$1048576,$B34,MATCH("Date Raised",'RAID Log'!$1:$1,0)),"")))</f>
        <v/>
      </c>
      <c r="O34" s="33" t="str">
        <f>IF($B34="","",IF(IFERROR(INDEX('RAID Log'!$1:$1048576,$B34,MATCH("Closed Date",'RAID Log'!$1:$1,0)),"")="","",IFERROR(INDEX('RAID Log'!$1:$1048576,$B34,MATCH("Closed Date",'RAID Log'!$1:$1,0)),"")))</f>
        <v/>
      </c>
      <c r="P34" s="31" t="str">
        <f>IF($B34="","",IF(IFERROR(INDEX('RAID Log'!$1:$1048576,$B34,MATCH("Mitigation Strategy",'RAID Log'!$1:$1,0)),"")="","",IFERROR(INDEX('RAID Log'!$1:$1048576,$B34,MATCH("Mitigation Strategy",'RAID Log'!$1:$1,0)),"")))</f>
        <v/>
      </c>
      <c r="Q34" s="34" t="str">
        <f>IF($B34="","",IF(IFERROR(INDEX('RAID Log'!$1:$1048576,$B34,MATCH("RAID Response/Plan",'RAID Log'!$1:$1,0)),"")="","",IFERROR(INDEX('RAID Log'!$1:$1048576,$B34,MATCH("RAID Response/Plan",'RAID Log'!$1:$1,0)),"")))</f>
        <v/>
      </c>
    </row>
    <row r="35" spans="1:17" ht="15" customHeight="1" thickTop="1" thickBot="1" x14ac:dyDescent="0.3">
      <c r="A35" s="28" t="str">
        <f>IF($B35="","",IF(IFERROR(INDEX('RAID Log'!$1:$1048576,$B35,MATCH("RAID ID",'RAID Log'!$1:$1,0)),"")="","",IFERROR(INDEX('RAID Log'!$1:$1048576,$B35,MATCH("RAID ID",'RAID Log'!$1:$1,0)),"")))</f>
        <v/>
      </c>
      <c r="B35" s="29" t="str">
        <f>IFERROR(MATCH(ROW()-1,'RAID Log'!$S:$S,0),"")</f>
        <v/>
      </c>
      <c r="C35" s="31" t="str">
        <f>IF($B35="","",IF(IFERROR(INDEX('RAID Log'!$1:$1048576,$B35,MATCH("Description",'RAID Log'!$1:$1,0)),"")="","",IFERROR(INDEX('RAID Log'!$1:$1048576,$B35,MATCH("Description",'RAID Log'!$1:$1,0)),"")))</f>
        <v/>
      </c>
      <c r="D35" s="31" t="str">
        <f>IF($B35="","",IF(IFERROR(INDEX('RAID Log'!$1:$1048576,$B35,MATCH("Impact/Effect of the RAID",'RAID Log'!$1:$1,0)),"")="","",IFERROR(INDEX('RAID Log'!$1:$1048576,$B35,MATCH("Impact/Effect of the RAID",'RAID Log'!$1:$1,0)),"")))</f>
        <v/>
      </c>
      <c r="E35" s="31" t="str">
        <f>IF($B35="","",IF(IFERROR(INDEX('RAID Log'!$1:$1048576,$B35,MATCH("Impact Area",'RAID Log'!$1:$1,0)),"")="","",IFERROR(INDEX('RAID Log'!$1:$1048576,$B35,MATCH("Impact Area",'RAID Log'!$1:$1,0)),"")))</f>
        <v/>
      </c>
      <c r="F35" s="31" t="str">
        <f>IF($B35="","",IF(IFERROR(INDEX('RAID Log'!$1:$1048576,$B35,MATCH("Impact Area",'RAID Log'!$1:$1,0)),"")="","",IFERROR(INDEX('RAID Log'!$1:$1048576,$B35,MATCH("Impact Area",'RAID Log'!$1:$1,0)),"")))</f>
        <v/>
      </c>
      <c r="G35" s="31" t="str">
        <f>IF($B35="","",IF(IFERROR(INDEX('RAID Log'!$1:$1048576,$B35,MATCH("Impact Rating",'RAID Log'!$1:$1,0)),"")="","",IFERROR(INDEX('RAID Log'!$1:$1048576,$B35,MATCH("Impact Rating",'RAID Log'!$1:$1,0)),"")))</f>
        <v/>
      </c>
      <c r="H35" s="31" t="str">
        <f>IF($B35="","",IF(IFERROR(INDEX('RAID Log'!$1:$1048576,$B35,MATCH("Initial Probability",'RAID Log'!$1:$1,0)),"")="","",IFERROR(INDEX('RAID Log'!$1:$1048576,$B35,MATCH("Initial Probability",'RAID Log'!$1:$1,0)),"")))</f>
        <v/>
      </c>
      <c r="I35" s="32" t="str">
        <f t="shared" si="0"/>
        <v/>
      </c>
      <c r="J35" s="31" t="str">
        <f t="shared" si="1"/>
        <v/>
      </c>
      <c r="K35" s="32" t="str">
        <f t="shared" si="3"/>
        <v/>
      </c>
      <c r="L35" s="31" t="str">
        <f>IF($B35="","",IF(IFERROR(INDEX('RAID Log'!$1:$1048576,$B35,MATCH("Status",'RAID Log'!$1:$1,0)),"")="","",IFERROR(INDEX('RAID Log'!$1:$1048576,$B35,MATCH("Status",'RAID Log'!$1:$1,0)),"")))</f>
        <v/>
      </c>
      <c r="M35" s="31" t="str">
        <f>IF($B35="","",IF(IFERROR(INDEX('RAID Log'!$1:$1048576,$B35,MATCH("RAID Owner",'RAID Log'!$1:$1,0)),"")="","",IFERROR(INDEX('RAID Log'!$1:$1048576,$B35,MATCH("RAID Owner",'RAID Log'!$1:$1,0)),"")))</f>
        <v/>
      </c>
      <c r="N35" s="33" t="str">
        <f>IF($B35="","",IF(IFERROR(INDEX('RAID Log'!$1:$1048576,$B35,MATCH("Date Raised",'RAID Log'!$1:$1,0)),"")="","",IFERROR(INDEX('RAID Log'!$1:$1048576,$B35,MATCH("Date Raised",'RAID Log'!$1:$1,0)),"")))</f>
        <v/>
      </c>
      <c r="O35" s="33" t="str">
        <f>IF($B35="","",IF(IFERROR(INDEX('RAID Log'!$1:$1048576,$B35,MATCH("Closed Date",'RAID Log'!$1:$1,0)),"")="","",IFERROR(INDEX('RAID Log'!$1:$1048576,$B35,MATCH("Closed Date",'RAID Log'!$1:$1,0)),"")))</f>
        <v/>
      </c>
      <c r="P35" s="31" t="str">
        <f>IF($B35="","",IF(IFERROR(INDEX('RAID Log'!$1:$1048576,$B35,MATCH("Mitigation Strategy",'RAID Log'!$1:$1,0)),"")="","",IFERROR(INDEX('RAID Log'!$1:$1048576,$B35,MATCH("Mitigation Strategy",'RAID Log'!$1:$1,0)),"")))</f>
        <v/>
      </c>
      <c r="Q35" s="34" t="str">
        <f>IF($B35="","",IF(IFERROR(INDEX('RAID Log'!$1:$1048576,$B35,MATCH("RAID Response/Plan",'RAID Log'!$1:$1,0)),"")="","",IFERROR(INDEX('RAID Log'!$1:$1048576,$B35,MATCH("RAID Response/Plan",'RAID Log'!$1:$1,0)),"")))</f>
        <v/>
      </c>
    </row>
    <row r="36" spans="1:17" ht="15" customHeight="1" thickTop="1" thickBot="1" x14ac:dyDescent="0.3">
      <c r="A36" s="28" t="str">
        <f>IF($B36="","",IF(IFERROR(INDEX('RAID Log'!$1:$1048576,$B36,MATCH("RAID ID",'RAID Log'!$1:$1,0)),"")="","",IFERROR(INDEX('RAID Log'!$1:$1048576,$B36,MATCH("RAID ID",'RAID Log'!$1:$1,0)),"")))</f>
        <v/>
      </c>
      <c r="B36" s="29" t="str">
        <f>IFERROR(MATCH(ROW()-1,'RAID Log'!$S:$S,0),"")</f>
        <v/>
      </c>
      <c r="C36" s="31" t="str">
        <f>IF($B36="","",IF(IFERROR(INDEX('RAID Log'!$1:$1048576,$B36,MATCH("Description",'RAID Log'!$1:$1,0)),"")="","",IFERROR(INDEX('RAID Log'!$1:$1048576,$B36,MATCH("Description",'RAID Log'!$1:$1,0)),"")))</f>
        <v/>
      </c>
      <c r="D36" s="31" t="str">
        <f>IF($B36="","",IF(IFERROR(INDEX('RAID Log'!$1:$1048576,$B36,MATCH("Impact/Effect of the RAID",'RAID Log'!$1:$1,0)),"")="","",IFERROR(INDEX('RAID Log'!$1:$1048576,$B36,MATCH("Impact/Effect of the RAID",'RAID Log'!$1:$1,0)),"")))</f>
        <v/>
      </c>
      <c r="E36" s="31" t="str">
        <f>IF($B36="","",IF(IFERROR(INDEX('RAID Log'!$1:$1048576,$B36,MATCH("Impact Area",'RAID Log'!$1:$1,0)),"")="","",IFERROR(INDEX('RAID Log'!$1:$1048576,$B36,MATCH("Impact Area",'RAID Log'!$1:$1,0)),"")))</f>
        <v/>
      </c>
      <c r="F36" s="31" t="str">
        <f>IF($B36="","",IF(IFERROR(INDEX('RAID Log'!$1:$1048576,$B36,MATCH("Impact Area",'RAID Log'!$1:$1,0)),"")="","",IFERROR(INDEX('RAID Log'!$1:$1048576,$B36,MATCH("Impact Area",'RAID Log'!$1:$1,0)),"")))</f>
        <v/>
      </c>
      <c r="G36" s="31" t="str">
        <f>IF($B36="","",IF(IFERROR(INDEX('RAID Log'!$1:$1048576,$B36,MATCH("Impact Rating",'RAID Log'!$1:$1,0)),"")="","",IFERROR(INDEX('RAID Log'!$1:$1048576,$B36,MATCH("Impact Rating",'RAID Log'!$1:$1,0)),"")))</f>
        <v/>
      </c>
      <c r="H36" s="31" t="str">
        <f>IF($B36="","",IF(IFERROR(INDEX('RAID Log'!$1:$1048576,$B36,MATCH("Initial Probability",'RAID Log'!$1:$1,0)),"")="","",IFERROR(INDEX('RAID Log'!$1:$1048576,$B36,MATCH("Initial Probability",'RAID Log'!$1:$1,0)),"")))</f>
        <v/>
      </c>
      <c r="I36" s="32" t="str">
        <f t="shared" si="0"/>
        <v/>
      </c>
      <c r="J36" s="31" t="str">
        <f t="shared" si="1"/>
        <v/>
      </c>
      <c r="K36" s="32" t="str">
        <f t="shared" si="3"/>
        <v/>
      </c>
      <c r="L36" s="31" t="str">
        <f>IF($B36="","",IF(IFERROR(INDEX('RAID Log'!$1:$1048576,$B36,MATCH("Status",'RAID Log'!$1:$1,0)),"")="","",IFERROR(INDEX('RAID Log'!$1:$1048576,$B36,MATCH("Status",'RAID Log'!$1:$1,0)),"")))</f>
        <v/>
      </c>
      <c r="M36" s="31" t="str">
        <f>IF($B36="","",IF(IFERROR(INDEX('RAID Log'!$1:$1048576,$B36,MATCH("RAID Owner",'RAID Log'!$1:$1,0)),"")="","",IFERROR(INDEX('RAID Log'!$1:$1048576,$B36,MATCH("RAID Owner",'RAID Log'!$1:$1,0)),"")))</f>
        <v/>
      </c>
      <c r="N36" s="33" t="str">
        <f>IF($B36="","",IF(IFERROR(INDEX('RAID Log'!$1:$1048576,$B36,MATCH("Date Raised",'RAID Log'!$1:$1,0)),"")="","",IFERROR(INDEX('RAID Log'!$1:$1048576,$B36,MATCH("Date Raised",'RAID Log'!$1:$1,0)),"")))</f>
        <v/>
      </c>
      <c r="O36" s="33" t="str">
        <f>IF($B36="","",IF(IFERROR(INDEX('RAID Log'!$1:$1048576,$B36,MATCH("Closed Date",'RAID Log'!$1:$1,0)),"")="","",IFERROR(INDEX('RAID Log'!$1:$1048576,$B36,MATCH("Closed Date",'RAID Log'!$1:$1,0)),"")))</f>
        <v/>
      </c>
      <c r="P36" s="31" t="str">
        <f>IF($B36="","",IF(IFERROR(INDEX('RAID Log'!$1:$1048576,$B36,MATCH("Mitigation Strategy",'RAID Log'!$1:$1,0)),"")="","",IFERROR(INDEX('RAID Log'!$1:$1048576,$B36,MATCH("Mitigation Strategy",'RAID Log'!$1:$1,0)),"")))</f>
        <v/>
      </c>
      <c r="Q36" s="34" t="str">
        <f>IF($B36="","",IF(IFERROR(INDEX('RAID Log'!$1:$1048576,$B36,MATCH("RAID Response/Plan",'RAID Log'!$1:$1,0)),"")="","",IFERROR(INDEX('RAID Log'!$1:$1048576,$B36,MATCH("RAID Response/Plan",'RAID Log'!$1:$1,0)),"")))</f>
        <v/>
      </c>
    </row>
    <row r="37" spans="1:17" ht="15" customHeight="1" thickTop="1" thickBot="1" x14ac:dyDescent="0.3">
      <c r="A37" s="28" t="str">
        <f>IF($B37="","",IF(IFERROR(INDEX('RAID Log'!$1:$1048576,$B37,MATCH("RAID ID",'RAID Log'!$1:$1,0)),"")="","",IFERROR(INDEX('RAID Log'!$1:$1048576,$B37,MATCH("RAID ID",'RAID Log'!$1:$1,0)),"")))</f>
        <v/>
      </c>
      <c r="B37" s="29" t="str">
        <f>IFERROR(MATCH(ROW()-1,'RAID Log'!$S:$S,0),"")</f>
        <v/>
      </c>
      <c r="C37" s="31" t="str">
        <f>IF($B37="","",IF(IFERROR(INDEX('RAID Log'!$1:$1048576,$B37,MATCH("Description",'RAID Log'!$1:$1,0)),"")="","",IFERROR(INDEX('RAID Log'!$1:$1048576,$B37,MATCH("Description",'RAID Log'!$1:$1,0)),"")))</f>
        <v/>
      </c>
      <c r="D37" s="31" t="str">
        <f>IF($B37="","",IF(IFERROR(INDEX('RAID Log'!$1:$1048576,$B37,MATCH("Impact/Effect of the RAID",'RAID Log'!$1:$1,0)),"")="","",IFERROR(INDEX('RAID Log'!$1:$1048576,$B37,MATCH("Impact/Effect of the RAID",'RAID Log'!$1:$1,0)),"")))</f>
        <v/>
      </c>
      <c r="E37" s="31" t="str">
        <f>IF($B37="","",IF(IFERROR(INDEX('RAID Log'!$1:$1048576,$B37,MATCH("Impact Area",'RAID Log'!$1:$1,0)),"")="","",IFERROR(INDEX('RAID Log'!$1:$1048576,$B37,MATCH("Impact Area",'RAID Log'!$1:$1,0)),"")))</f>
        <v/>
      </c>
      <c r="F37" s="31" t="str">
        <f>IF($B37="","",IF(IFERROR(INDEX('RAID Log'!$1:$1048576,$B37,MATCH("Impact Area",'RAID Log'!$1:$1,0)),"")="","",IFERROR(INDEX('RAID Log'!$1:$1048576,$B37,MATCH("Impact Area",'RAID Log'!$1:$1,0)),"")))</f>
        <v/>
      </c>
      <c r="G37" s="31" t="str">
        <f>IF($B37="","",IF(IFERROR(INDEX('RAID Log'!$1:$1048576,$B37,MATCH("Impact Rating",'RAID Log'!$1:$1,0)),"")="","",IFERROR(INDEX('RAID Log'!$1:$1048576,$B37,MATCH("Impact Rating",'RAID Log'!$1:$1,0)),"")))</f>
        <v/>
      </c>
      <c r="H37" s="31" t="str">
        <f>IF($B37="","",IF(IFERROR(INDEX('RAID Log'!$1:$1048576,$B37,MATCH("Initial Probability",'RAID Log'!$1:$1,0)),"")="","",IFERROR(INDEX('RAID Log'!$1:$1048576,$B37,MATCH("Initial Probability",'RAID Log'!$1:$1,0)),"")))</f>
        <v/>
      </c>
      <c r="I37" s="32" t="str">
        <f t="shared" si="0"/>
        <v/>
      </c>
      <c r="J37" s="31" t="str">
        <f t="shared" si="1"/>
        <v/>
      </c>
      <c r="K37" s="32" t="str">
        <f t="shared" si="3"/>
        <v/>
      </c>
      <c r="L37" s="31" t="str">
        <f>IF($B37="","",IF(IFERROR(INDEX('RAID Log'!$1:$1048576,$B37,MATCH("Status",'RAID Log'!$1:$1,0)),"")="","",IFERROR(INDEX('RAID Log'!$1:$1048576,$B37,MATCH("Status",'RAID Log'!$1:$1,0)),"")))</f>
        <v/>
      </c>
      <c r="M37" s="31" t="str">
        <f>IF($B37="","",IF(IFERROR(INDEX('RAID Log'!$1:$1048576,$B37,MATCH("RAID Owner",'RAID Log'!$1:$1,0)),"")="","",IFERROR(INDEX('RAID Log'!$1:$1048576,$B37,MATCH("RAID Owner",'RAID Log'!$1:$1,0)),"")))</f>
        <v/>
      </c>
      <c r="N37" s="33" t="str">
        <f>IF($B37="","",IF(IFERROR(INDEX('RAID Log'!$1:$1048576,$B37,MATCH("Date Raised",'RAID Log'!$1:$1,0)),"")="","",IFERROR(INDEX('RAID Log'!$1:$1048576,$B37,MATCH("Date Raised",'RAID Log'!$1:$1,0)),"")))</f>
        <v/>
      </c>
      <c r="O37" s="33" t="str">
        <f>IF($B37="","",IF(IFERROR(INDEX('RAID Log'!$1:$1048576,$B37,MATCH("Closed Date",'RAID Log'!$1:$1,0)),"")="","",IFERROR(INDEX('RAID Log'!$1:$1048576,$B37,MATCH("Closed Date",'RAID Log'!$1:$1,0)),"")))</f>
        <v/>
      </c>
      <c r="P37" s="31" t="str">
        <f>IF($B37="","",IF(IFERROR(INDEX('RAID Log'!$1:$1048576,$B37,MATCH("Mitigation Strategy",'RAID Log'!$1:$1,0)),"")="","",IFERROR(INDEX('RAID Log'!$1:$1048576,$B37,MATCH("Mitigation Strategy",'RAID Log'!$1:$1,0)),"")))</f>
        <v/>
      </c>
      <c r="Q37" s="34" t="str">
        <f>IF($B37="","",IF(IFERROR(INDEX('RAID Log'!$1:$1048576,$B37,MATCH("RAID Response/Plan",'RAID Log'!$1:$1,0)),"")="","",IFERROR(INDEX('RAID Log'!$1:$1048576,$B37,MATCH("RAID Response/Plan",'RAID Log'!$1:$1,0)),"")))</f>
        <v/>
      </c>
    </row>
    <row r="38" spans="1:17" ht="15" customHeight="1" thickTop="1" thickBot="1" x14ac:dyDescent="0.3">
      <c r="A38" s="28" t="str">
        <f>IF($B38="","",IF(IFERROR(INDEX('RAID Log'!$1:$1048576,$B38,MATCH("RAID ID",'RAID Log'!$1:$1,0)),"")="","",IFERROR(INDEX('RAID Log'!$1:$1048576,$B38,MATCH("RAID ID",'RAID Log'!$1:$1,0)),"")))</f>
        <v/>
      </c>
      <c r="B38" s="29" t="str">
        <f>IFERROR(MATCH(ROW()-1,'RAID Log'!$S:$S,0),"")</f>
        <v/>
      </c>
      <c r="C38" s="31" t="str">
        <f>IF($B38="","",IF(IFERROR(INDEX('RAID Log'!$1:$1048576,$B38,MATCH("Description",'RAID Log'!$1:$1,0)),"")="","",IFERROR(INDEX('RAID Log'!$1:$1048576,$B38,MATCH("Description",'RAID Log'!$1:$1,0)),"")))</f>
        <v/>
      </c>
      <c r="D38" s="31" t="str">
        <f>IF($B38="","",IF(IFERROR(INDEX('RAID Log'!$1:$1048576,$B38,MATCH("Impact/Effect of the RAID",'RAID Log'!$1:$1,0)),"")="","",IFERROR(INDEX('RAID Log'!$1:$1048576,$B38,MATCH("Impact/Effect of the RAID",'RAID Log'!$1:$1,0)),"")))</f>
        <v/>
      </c>
      <c r="E38" s="31" t="str">
        <f>IF($B38="","",IF(IFERROR(INDEX('RAID Log'!$1:$1048576,$B38,MATCH("Impact Area",'RAID Log'!$1:$1,0)),"")="","",IFERROR(INDEX('RAID Log'!$1:$1048576,$B38,MATCH("Impact Area",'RAID Log'!$1:$1,0)),"")))</f>
        <v/>
      </c>
      <c r="F38" s="31" t="str">
        <f>IF($B38="","",IF(IFERROR(INDEX('RAID Log'!$1:$1048576,$B38,MATCH("Impact Area",'RAID Log'!$1:$1,0)),"")="","",IFERROR(INDEX('RAID Log'!$1:$1048576,$B38,MATCH("Impact Area",'RAID Log'!$1:$1,0)),"")))</f>
        <v/>
      </c>
      <c r="G38" s="31" t="str">
        <f>IF($B38="","",IF(IFERROR(INDEX('RAID Log'!$1:$1048576,$B38,MATCH("Impact Rating",'RAID Log'!$1:$1,0)),"")="","",IFERROR(INDEX('RAID Log'!$1:$1048576,$B38,MATCH("Impact Rating",'RAID Log'!$1:$1,0)),"")))</f>
        <v/>
      </c>
      <c r="H38" s="31" t="str">
        <f>IF($B38="","",IF(IFERROR(INDEX('RAID Log'!$1:$1048576,$B38,MATCH("Initial Probability",'RAID Log'!$1:$1,0)),"")="","",IFERROR(INDEX('RAID Log'!$1:$1048576,$B38,MATCH("Initial Probability",'RAID Log'!$1:$1,0)),"")))</f>
        <v/>
      </c>
      <c r="I38" s="32" t="str">
        <f t="shared" si="0"/>
        <v/>
      </c>
      <c r="J38" s="31" t="str">
        <f t="shared" si="1"/>
        <v/>
      </c>
      <c r="K38" s="32" t="str">
        <f t="shared" si="3"/>
        <v/>
      </c>
      <c r="L38" s="31" t="str">
        <f>IF($B38="","",IF(IFERROR(INDEX('RAID Log'!$1:$1048576,$B38,MATCH("Status",'RAID Log'!$1:$1,0)),"")="","",IFERROR(INDEX('RAID Log'!$1:$1048576,$B38,MATCH("Status",'RAID Log'!$1:$1,0)),"")))</f>
        <v/>
      </c>
      <c r="M38" s="31" t="str">
        <f>IF($B38="","",IF(IFERROR(INDEX('RAID Log'!$1:$1048576,$B38,MATCH("RAID Owner",'RAID Log'!$1:$1,0)),"")="","",IFERROR(INDEX('RAID Log'!$1:$1048576,$B38,MATCH("RAID Owner",'RAID Log'!$1:$1,0)),"")))</f>
        <v/>
      </c>
      <c r="N38" s="33" t="str">
        <f>IF($B38="","",IF(IFERROR(INDEX('RAID Log'!$1:$1048576,$B38,MATCH("Date Raised",'RAID Log'!$1:$1,0)),"")="","",IFERROR(INDEX('RAID Log'!$1:$1048576,$B38,MATCH("Date Raised",'RAID Log'!$1:$1,0)),"")))</f>
        <v/>
      </c>
      <c r="O38" s="33" t="str">
        <f>IF($B38="","",IF(IFERROR(INDEX('RAID Log'!$1:$1048576,$B38,MATCH("Closed Date",'RAID Log'!$1:$1,0)),"")="","",IFERROR(INDEX('RAID Log'!$1:$1048576,$B38,MATCH("Closed Date",'RAID Log'!$1:$1,0)),"")))</f>
        <v/>
      </c>
      <c r="P38" s="31" t="str">
        <f>IF($B38="","",IF(IFERROR(INDEX('RAID Log'!$1:$1048576,$B38,MATCH("Mitigation Strategy",'RAID Log'!$1:$1,0)),"")="","",IFERROR(INDEX('RAID Log'!$1:$1048576,$B38,MATCH("Mitigation Strategy",'RAID Log'!$1:$1,0)),"")))</f>
        <v/>
      </c>
      <c r="Q38" s="34" t="str">
        <f>IF($B38="","",IF(IFERROR(INDEX('RAID Log'!$1:$1048576,$B38,MATCH("RAID Response/Plan",'RAID Log'!$1:$1,0)),"")="","",IFERROR(INDEX('RAID Log'!$1:$1048576,$B38,MATCH("RAID Response/Plan",'RAID Log'!$1:$1,0)),"")))</f>
        <v/>
      </c>
    </row>
    <row r="39" spans="1:17" ht="15" customHeight="1" thickTop="1" thickBot="1" x14ac:dyDescent="0.3">
      <c r="A39" s="28" t="str">
        <f>IF($B39="","",IF(IFERROR(INDEX('RAID Log'!$1:$1048576,$B39,MATCH("RAID ID",'RAID Log'!$1:$1,0)),"")="","",IFERROR(INDEX('RAID Log'!$1:$1048576,$B39,MATCH("RAID ID",'RAID Log'!$1:$1,0)),"")))</f>
        <v/>
      </c>
      <c r="B39" s="29" t="str">
        <f>IFERROR(MATCH(ROW()-1,'RAID Log'!$S:$S,0),"")</f>
        <v/>
      </c>
      <c r="C39" s="31" t="str">
        <f>IF($B39="","",IF(IFERROR(INDEX('RAID Log'!$1:$1048576,$B39,MATCH("Description",'RAID Log'!$1:$1,0)),"")="","",IFERROR(INDEX('RAID Log'!$1:$1048576,$B39,MATCH("Description",'RAID Log'!$1:$1,0)),"")))</f>
        <v/>
      </c>
      <c r="D39" s="31" t="str">
        <f>IF($B39="","",IF(IFERROR(INDEX('RAID Log'!$1:$1048576,$B39,MATCH("Impact/Effect of the RAID",'RAID Log'!$1:$1,0)),"")="","",IFERROR(INDEX('RAID Log'!$1:$1048576,$B39,MATCH("Impact/Effect of the RAID",'RAID Log'!$1:$1,0)),"")))</f>
        <v/>
      </c>
      <c r="E39" s="31" t="str">
        <f>IF($B39="","",IF(IFERROR(INDEX('RAID Log'!$1:$1048576,$B39,MATCH("Impact Area",'RAID Log'!$1:$1,0)),"")="","",IFERROR(INDEX('RAID Log'!$1:$1048576,$B39,MATCH("Impact Area",'RAID Log'!$1:$1,0)),"")))</f>
        <v/>
      </c>
      <c r="F39" s="31" t="str">
        <f>IF($B39="","",IF(IFERROR(INDEX('RAID Log'!$1:$1048576,$B39,MATCH("Impact Area",'RAID Log'!$1:$1,0)),"")="","",IFERROR(INDEX('RAID Log'!$1:$1048576,$B39,MATCH("Impact Area",'RAID Log'!$1:$1,0)),"")))</f>
        <v/>
      </c>
      <c r="G39" s="31" t="str">
        <f>IF($B39="","",IF(IFERROR(INDEX('RAID Log'!$1:$1048576,$B39,MATCH("Impact Rating",'RAID Log'!$1:$1,0)),"")="","",IFERROR(INDEX('RAID Log'!$1:$1048576,$B39,MATCH("Impact Rating",'RAID Log'!$1:$1,0)),"")))</f>
        <v/>
      </c>
      <c r="H39" s="31" t="str">
        <f>IF($B39="","",IF(IFERROR(INDEX('RAID Log'!$1:$1048576,$B39,MATCH("Initial Probability",'RAID Log'!$1:$1,0)),"")="","",IFERROR(INDEX('RAID Log'!$1:$1048576,$B39,MATCH("Initial Probability",'RAID Log'!$1:$1,0)),"")))</f>
        <v/>
      </c>
      <c r="I39" s="32" t="str">
        <f t="shared" si="0"/>
        <v/>
      </c>
      <c r="J39" s="31" t="str">
        <f t="shared" si="1"/>
        <v/>
      </c>
      <c r="K39" s="32" t="str">
        <f t="shared" si="3"/>
        <v/>
      </c>
      <c r="L39" s="31" t="str">
        <f>IF($B39="","",IF(IFERROR(INDEX('RAID Log'!$1:$1048576,$B39,MATCH("Status",'RAID Log'!$1:$1,0)),"")="","",IFERROR(INDEX('RAID Log'!$1:$1048576,$B39,MATCH("Status",'RAID Log'!$1:$1,0)),"")))</f>
        <v/>
      </c>
      <c r="M39" s="31" t="str">
        <f>IF($B39="","",IF(IFERROR(INDEX('RAID Log'!$1:$1048576,$B39,MATCH("RAID Owner",'RAID Log'!$1:$1,0)),"")="","",IFERROR(INDEX('RAID Log'!$1:$1048576,$B39,MATCH("RAID Owner",'RAID Log'!$1:$1,0)),"")))</f>
        <v/>
      </c>
      <c r="N39" s="33" t="str">
        <f>IF($B39="","",IF(IFERROR(INDEX('RAID Log'!$1:$1048576,$B39,MATCH("Date Raised",'RAID Log'!$1:$1,0)),"")="","",IFERROR(INDEX('RAID Log'!$1:$1048576,$B39,MATCH("Date Raised",'RAID Log'!$1:$1,0)),"")))</f>
        <v/>
      </c>
      <c r="O39" s="33" t="str">
        <f>IF($B39="","",IF(IFERROR(INDEX('RAID Log'!$1:$1048576,$B39,MATCH("Closed Date",'RAID Log'!$1:$1,0)),"")="","",IFERROR(INDEX('RAID Log'!$1:$1048576,$B39,MATCH("Closed Date",'RAID Log'!$1:$1,0)),"")))</f>
        <v/>
      </c>
      <c r="P39" s="31" t="str">
        <f>IF($B39="","",IF(IFERROR(INDEX('RAID Log'!$1:$1048576,$B39,MATCH("Mitigation Strategy",'RAID Log'!$1:$1,0)),"")="","",IFERROR(INDEX('RAID Log'!$1:$1048576,$B39,MATCH("Mitigation Strategy",'RAID Log'!$1:$1,0)),"")))</f>
        <v/>
      </c>
      <c r="Q39" s="34" t="str">
        <f>IF($B39="","",IF(IFERROR(INDEX('RAID Log'!$1:$1048576,$B39,MATCH("RAID Response/Plan",'RAID Log'!$1:$1,0)),"")="","",IFERROR(INDEX('RAID Log'!$1:$1048576,$B39,MATCH("RAID Response/Plan",'RAID Log'!$1:$1,0)),"")))</f>
        <v/>
      </c>
    </row>
    <row r="40" spans="1:17" ht="15" customHeight="1" thickTop="1" thickBot="1" x14ac:dyDescent="0.3">
      <c r="A40" s="28" t="str">
        <f>IF($B40="","",IF(IFERROR(INDEX('RAID Log'!$1:$1048576,$B40,MATCH("RAID ID",'RAID Log'!$1:$1,0)),"")="","",IFERROR(INDEX('RAID Log'!$1:$1048576,$B40,MATCH("RAID ID",'RAID Log'!$1:$1,0)),"")))</f>
        <v/>
      </c>
      <c r="B40" s="29" t="str">
        <f>IFERROR(MATCH(ROW()-1,'RAID Log'!$S:$S,0),"")</f>
        <v/>
      </c>
      <c r="C40" s="31" t="str">
        <f>IF($B40="","",IF(IFERROR(INDEX('RAID Log'!$1:$1048576,$B40,MATCH("Description",'RAID Log'!$1:$1,0)),"")="","",IFERROR(INDEX('RAID Log'!$1:$1048576,$B40,MATCH("Description",'RAID Log'!$1:$1,0)),"")))</f>
        <v/>
      </c>
      <c r="D40" s="31" t="str">
        <f>IF($B40="","",IF(IFERROR(INDEX('RAID Log'!$1:$1048576,$B40,MATCH("Impact/Effect of the RAID",'RAID Log'!$1:$1,0)),"")="","",IFERROR(INDEX('RAID Log'!$1:$1048576,$B40,MATCH("Impact/Effect of the RAID",'RAID Log'!$1:$1,0)),"")))</f>
        <v/>
      </c>
      <c r="E40" s="31" t="str">
        <f>IF($B40="","",IF(IFERROR(INDEX('RAID Log'!$1:$1048576,$B40,MATCH("Impact Area",'RAID Log'!$1:$1,0)),"")="","",IFERROR(INDEX('RAID Log'!$1:$1048576,$B40,MATCH("Impact Area",'RAID Log'!$1:$1,0)),"")))</f>
        <v/>
      </c>
      <c r="F40" s="31" t="str">
        <f>IF($B40="","",IF(IFERROR(INDEX('RAID Log'!$1:$1048576,$B40,MATCH("Impact Area",'RAID Log'!$1:$1,0)),"")="","",IFERROR(INDEX('RAID Log'!$1:$1048576,$B40,MATCH("Impact Area",'RAID Log'!$1:$1,0)),"")))</f>
        <v/>
      </c>
      <c r="G40" s="31" t="str">
        <f>IF($B40="","",IF(IFERROR(INDEX('RAID Log'!$1:$1048576,$B40,MATCH("Impact Rating",'RAID Log'!$1:$1,0)),"")="","",IFERROR(INDEX('RAID Log'!$1:$1048576,$B40,MATCH("Impact Rating",'RAID Log'!$1:$1,0)),"")))</f>
        <v/>
      </c>
      <c r="H40" s="31" t="str">
        <f>IF($B40="","",IF(IFERROR(INDEX('RAID Log'!$1:$1048576,$B40,MATCH("Initial Probability",'RAID Log'!$1:$1,0)),"")="","",IFERROR(INDEX('RAID Log'!$1:$1048576,$B40,MATCH("Initial Probability",'RAID Log'!$1:$1,0)),"")))</f>
        <v/>
      </c>
      <c r="I40" s="32" t="str">
        <f t="shared" si="0"/>
        <v/>
      </c>
      <c r="J40" s="31" t="str">
        <f t="shared" si="1"/>
        <v/>
      </c>
      <c r="K40" s="32" t="str">
        <f t="shared" si="3"/>
        <v/>
      </c>
      <c r="L40" s="31" t="str">
        <f>IF($B40="","",IF(IFERROR(INDEX('RAID Log'!$1:$1048576,$B40,MATCH("Status",'RAID Log'!$1:$1,0)),"")="","",IFERROR(INDEX('RAID Log'!$1:$1048576,$B40,MATCH("Status",'RAID Log'!$1:$1,0)),"")))</f>
        <v/>
      </c>
      <c r="M40" s="31" t="str">
        <f>IF($B40="","",IF(IFERROR(INDEX('RAID Log'!$1:$1048576,$B40,MATCH("RAID Owner",'RAID Log'!$1:$1,0)),"")="","",IFERROR(INDEX('RAID Log'!$1:$1048576,$B40,MATCH("RAID Owner",'RAID Log'!$1:$1,0)),"")))</f>
        <v/>
      </c>
      <c r="N40" s="33" t="str">
        <f>IF($B40="","",IF(IFERROR(INDEX('RAID Log'!$1:$1048576,$B40,MATCH("Date Raised",'RAID Log'!$1:$1,0)),"")="","",IFERROR(INDEX('RAID Log'!$1:$1048576,$B40,MATCH("Date Raised",'RAID Log'!$1:$1,0)),"")))</f>
        <v/>
      </c>
      <c r="O40" s="33" t="str">
        <f>IF($B40="","",IF(IFERROR(INDEX('RAID Log'!$1:$1048576,$B40,MATCH("Closed Date",'RAID Log'!$1:$1,0)),"")="","",IFERROR(INDEX('RAID Log'!$1:$1048576,$B40,MATCH("Closed Date",'RAID Log'!$1:$1,0)),"")))</f>
        <v/>
      </c>
      <c r="P40" s="31" t="str">
        <f>IF($B40="","",IF(IFERROR(INDEX('RAID Log'!$1:$1048576,$B40,MATCH("Mitigation Strategy",'RAID Log'!$1:$1,0)),"")="","",IFERROR(INDEX('RAID Log'!$1:$1048576,$B40,MATCH("Mitigation Strategy",'RAID Log'!$1:$1,0)),"")))</f>
        <v/>
      </c>
      <c r="Q40" s="34" t="str">
        <f>IF($B40="","",IF(IFERROR(INDEX('RAID Log'!$1:$1048576,$B40,MATCH("RAID Response/Plan",'RAID Log'!$1:$1,0)),"")="","",IFERROR(INDEX('RAID Log'!$1:$1048576,$B40,MATCH("RAID Response/Plan",'RAID Log'!$1:$1,0)),"")))</f>
        <v/>
      </c>
    </row>
    <row r="41" spans="1:17" ht="15" customHeight="1" thickTop="1" thickBot="1" x14ac:dyDescent="0.3">
      <c r="A41" s="28" t="str">
        <f>IF($B41="","",IF(IFERROR(INDEX('RAID Log'!$1:$1048576,$B41,MATCH("RAID ID",'RAID Log'!$1:$1,0)),"")="","",IFERROR(INDEX('RAID Log'!$1:$1048576,$B41,MATCH("RAID ID",'RAID Log'!$1:$1,0)),"")))</f>
        <v/>
      </c>
      <c r="B41" s="29" t="str">
        <f>IFERROR(MATCH(ROW()-1,'RAID Log'!$S:$S,0),"")</f>
        <v/>
      </c>
      <c r="C41" s="31" t="str">
        <f>IF($B41="","",IF(IFERROR(INDEX('RAID Log'!$1:$1048576,$B41,MATCH("Description",'RAID Log'!$1:$1,0)),"")="","",IFERROR(INDEX('RAID Log'!$1:$1048576,$B41,MATCH("Description",'RAID Log'!$1:$1,0)),"")))</f>
        <v/>
      </c>
      <c r="D41" s="31" t="str">
        <f>IF($B41="","",IF(IFERROR(INDEX('RAID Log'!$1:$1048576,$B41,MATCH("Impact/Effect of the RAID",'RAID Log'!$1:$1,0)),"")="","",IFERROR(INDEX('RAID Log'!$1:$1048576,$B41,MATCH("Impact/Effect of the RAID",'RAID Log'!$1:$1,0)),"")))</f>
        <v/>
      </c>
      <c r="E41" s="31" t="str">
        <f>IF($B41="","",IF(IFERROR(INDEX('RAID Log'!$1:$1048576,$B41,MATCH("Impact Area",'RAID Log'!$1:$1,0)),"")="","",IFERROR(INDEX('RAID Log'!$1:$1048576,$B41,MATCH("Impact Area",'RAID Log'!$1:$1,0)),"")))</f>
        <v/>
      </c>
      <c r="F41" s="31" t="str">
        <f>IF($B41="","",IF(IFERROR(INDEX('RAID Log'!$1:$1048576,$B41,MATCH("Impact Area",'RAID Log'!$1:$1,0)),"")="","",IFERROR(INDEX('RAID Log'!$1:$1048576,$B41,MATCH("Impact Area",'RAID Log'!$1:$1,0)),"")))</f>
        <v/>
      </c>
      <c r="G41" s="31" t="str">
        <f>IF($B41="","",IF(IFERROR(INDEX('RAID Log'!$1:$1048576,$B41,MATCH("Impact Rating",'RAID Log'!$1:$1,0)),"")="","",IFERROR(INDEX('RAID Log'!$1:$1048576,$B41,MATCH("Impact Rating",'RAID Log'!$1:$1,0)),"")))</f>
        <v/>
      </c>
      <c r="H41" s="31" t="str">
        <f>IF($B41="","",IF(IFERROR(INDEX('RAID Log'!$1:$1048576,$B41,MATCH("Initial Probability",'RAID Log'!$1:$1,0)),"")="","",IFERROR(INDEX('RAID Log'!$1:$1048576,$B41,MATCH("Initial Probability",'RAID Log'!$1:$1,0)),"")))</f>
        <v/>
      </c>
      <c r="I41" s="32" t="str">
        <f t="shared" si="0"/>
        <v/>
      </c>
      <c r="J41" s="31" t="str">
        <f t="shared" si="1"/>
        <v/>
      </c>
      <c r="K41" s="32" t="str">
        <f t="shared" si="3"/>
        <v/>
      </c>
      <c r="L41" s="31" t="str">
        <f>IF($B41="","",IF(IFERROR(INDEX('RAID Log'!$1:$1048576,$B41,MATCH("Status",'RAID Log'!$1:$1,0)),"")="","",IFERROR(INDEX('RAID Log'!$1:$1048576,$B41,MATCH("Status",'RAID Log'!$1:$1,0)),"")))</f>
        <v/>
      </c>
      <c r="M41" s="31" t="str">
        <f>IF($B41="","",IF(IFERROR(INDEX('RAID Log'!$1:$1048576,$B41,MATCH("RAID Owner",'RAID Log'!$1:$1,0)),"")="","",IFERROR(INDEX('RAID Log'!$1:$1048576,$B41,MATCH("RAID Owner",'RAID Log'!$1:$1,0)),"")))</f>
        <v/>
      </c>
      <c r="N41" s="33" t="str">
        <f>IF($B41="","",IF(IFERROR(INDEX('RAID Log'!$1:$1048576,$B41,MATCH("Date Raised",'RAID Log'!$1:$1,0)),"")="","",IFERROR(INDEX('RAID Log'!$1:$1048576,$B41,MATCH("Date Raised",'RAID Log'!$1:$1,0)),"")))</f>
        <v/>
      </c>
      <c r="O41" s="33" t="str">
        <f>IF($B41="","",IF(IFERROR(INDEX('RAID Log'!$1:$1048576,$B41,MATCH("Closed Date",'RAID Log'!$1:$1,0)),"")="","",IFERROR(INDEX('RAID Log'!$1:$1048576,$B41,MATCH("Closed Date",'RAID Log'!$1:$1,0)),"")))</f>
        <v/>
      </c>
      <c r="P41" s="31" t="str">
        <f>IF($B41="","",IF(IFERROR(INDEX('RAID Log'!$1:$1048576,$B41,MATCH("Mitigation Strategy",'RAID Log'!$1:$1,0)),"")="","",IFERROR(INDEX('RAID Log'!$1:$1048576,$B41,MATCH("Mitigation Strategy",'RAID Log'!$1:$1,0)),"")))</f>
        <v/>
      </c>
      <c r="Q41" s="34" t="str">
        <f>IF($B41="","",IF(IFERROR(INDEX('RAID Log'!$1:$1048576,$B41,MATCH("RAID Response/Plan",'RAID Log'!$1:$1,0)),"")="","",IFERROR(INDEX('RAID Log'!$1:$1048576,$B41,MATCH("RAID Response/Plan",'RAID Log'!$1:$1,0)),"")))</f>
        <v/>
      </c>
    </row>
    <row r="42" spans="1:17" ht="15" customHeight="1" thickTop="1" thickBot="1" x14ac:dyDescent="0.3">
      <c r="A42" s="28" t="str">
        <f>IF($B42="","",IF(IFERROR(INDEX('RAID Log'!$1:$1048576,$B42,MATCH("RAID ID",'RAID Log'!$1:$1,0)),"")="","",IFERROR(INDEX('RAID Log'!$1:$1048576,$B42,MATCH("RAID ID",'RAID Log'!$1:$1,0)),"")))</f>
        <v/>
      </c>
      <c r="B42" s="29" t="str">
        <f>IFERROR(MATCH(ROW()-1,'RAID Log'!$S:$S,0),"")</f>
        <v/>
      </c>
      <c r="C42" s="31" t="str">
        <f>IF($B42="","",IF(IFERROR(INDEX('RAID Log'!$1:$1048576,$B42,MATCH("Description",'RAID Log'!$1:$1,0)),"")="","",IFERROR(INDEX('RAID Log'!$1:$1048576,$B42,MATCH("Description",'RAID Log'!$1:$1,0)),"")))</f>
        <v/>
      </c>
      <c r="D42" s="31" t="str">
        <f>IF($B42="","",IF(IFERROR(INDEX('RAID Log'!$1:$1048576,$B42,MATCH("Impact/Effect of the RAID",'RAID Log'!$1:$1,0)),"")="","",IFERROR(INDEX('RAID Log'!$1:$1048576,$B42,MATCH("Impact/Effect of the RAID",'RAID Log'!$1:$1,0)),"")))</f>
        <v/>
      </c>
      <c r="E42" s="31" t="str">
        <f>IF($B42="","",IF(IFERROR(INDEX('RAID Log'!$1:$1048576,$B42,MATCH("Impact Area",'RAID Log'!$1:$1,0)),"")="","",IFERROR(INDEX('RAID Log'!$1:$1048576,$B42,MATCH("Impact Area",'RAID Log'!$1:$1,0)),"")))</f>
        <v/>
      </c>
      <c r="F42" s="31" t="str">
        <f>IF($B42="","",IF(IFERROR(INDEX('RAID Log'!$1:$1048576,$B42,MATCH("Impact Area",'RAID Log'!$1:$1,0)),"")="","",IFERROR(INDEX('RAID Log'!$1:$1048576,$B42,MATCH("Impact Area",'RAID Log'!$1:$1,0)),"")))</f>
        <v/>
      </c>
      <c r="G42" s="31" t="str">
        <f>IF($B42="","",IF(IFERROR(INDEX('RAID Log'!$1:$1048576,$B42,MATCH("Impact Rating",'RAID Log'!$1:$1,0)),"")="","",IFERROR(INDEX('RAID Log'!$1:$1048576,$B42,MATCH("Impact Rating",'RAID Log'!$1:$1,0)),"")))</f>
        <v/>
      </c>
      <c r="H42" s="31" t="str">
        <f>IF($B42="","",IF(IFERROR(INDEX('RAID Log'!$1:$1048576,$B42,MATCH("Initial Probability",'RAID Log'!$1:$1,0)),"")="","",IFERROR(INDEX('RAID Log'!$1:$1048576,$B42,MATCH("Initial Probability",'RAID Log'!$1:$1,0)),"")))</f>
        <v/>
      </c>
      <c r="I42" s="32" t="str">
        <f t="shared" si="0"/>
        <v/>
      </c>
      <c r="J42" s="31" t="str">
        <f t="shared" si="1"/>
        <v/>
      </c>
      <c r="K42" s="32" t="str">
        <f t="shared" si="3"/>
        <v/>
      </c>
      <c r="L42" s="31" t="str">
        <f>IF($B42="","",IF(IFERROR(INDEX('RAID Log'!$1:$1048576,$B42,MATCH("Status",'RAID Log'!$1:$1,0)),"")="","",IFERROR(INDEX('RAID Log'!$1:$1048576,$B42,MATCH("Status",'RAID Log'!$1:$1,0)),"")))</f>
        <v/>
      </c>
      <c r="M42" s="31" t="str">
        <f>IF($B42="","",IF(IFERROR(INDEX('RAID Log'!$1:$1048576,$B42,MATCH("RAID Owner",'RAID Log'!$1:$1,0)),"")="","",IFERROR(INDEX('RAID Log'!$1:$1048576,$B42,MATCH("RAID Owner",'RAID Log'!$1:$1,0)),"")))</f>
        <v/>
      </c>
      <c r="N42" s="33" t="str">
        <f>IF($B42="","",IF(IFERROR(INDEX('RAID Log'!$1:$1048576,$B42,MATCH("Date Raised",'RAID Log'!$1:$1,0)),"")="","",IFERROR(INDEX('RAID Log'!$1:$1048576,$B42,MATCH("Date Raised",'RAID Log'!$1:$1,0)),"")))</f>
        <v/>
      </c>
      <c r="O42" s="33" t="str">
        <f>IF($B42="","",IF(IFERROR(INDEX('RAID Log'!$1:$1048576,$B42,MATCH("Closed Date",'RAID Log'!$1:$1,0)),"")="","",IFERROR(INDEX('RAID Log'!$1:$1048576,$B42,MATCH("Closed Date",'RAID Log'!$1:$1,0)),"")))</f>
        <v/>
      </c>
      <c r="P42" s="31" t="str">
        <f>IF($B42="","",IF(IFERROR(INDEX('RAID Log'!$1:$1048576,$B42,MATCH("Mitigation Strategy",'RAID Log'!$1:$1,0)),"")="","",IFERROR(INDEX('RAID Log'!$1:$1048576,$B42,MATCH("Mitigation Strategy",'RAID Log'!$1:$1,0)),"")))</f>
        <v/>
      </c>
      <c r="Q42" s="34" t="str">
        <f>IF($B42="","",IF(IFERROR(INDEX('RAID Log'!$1:$1048576,$B42,MATCH("RAID Response/Plan",'RAID Log'!$1:$1,0)),"")="","",IFERROR(INDEX('RAID Log'!$1:$1048576,$B42,MATCH("RAID Response/Plan",'RAID Log'!$1:$1,0)),"")))</f>
        <v/>
      </c>
    </row>
    <row r="43" spans="1:17" ht="15" customHeight="1" thickTop="1" thickBot="1" x14ac:dyDescent="0.3">
      <c r="A43" s="28" t="str">
        <f>IF($B43="","",IF(IFERROR(INDEX('RAID Log'!$1:$1048576,$B43,MATCH("RAID ID",'RAID Log'!$1:$1,0)),"")="","",IFERROR(INDEX('RAID Log'!$1:$1048576,$B43,MATCH("RAID ID",'RAID Log'!$1:$1,0)),"")))</f>
        <v/>
      </c>
      <c r="B43" s="29" t="str">
        <f>IFERROR(MATCH(ROW()-1,'RAID Log'!$S:$S,0),"")</f>
        <v/>
      </c>
      <c r="C43" s="31" t="str">
        <f>IF($B43="","",IF(IFERROR(INDEX('RAID Log'!$1:$1048576,$B43,MATCH("Description",'RAID Log'!$1:$1,0)),"")="","",IFERROR(INDEX('RAID Log'!$1:$1048576,$B43,MATCH("Description",'RAID Log'!$1:$1,0)),"")))</f>
        <v/>
      </c>
      <c r="D43" s="31" t="str">
        <f>IF($B43="","",IF(IFERROR(INDEX('RAID Log'!$1:$1048576,$B43,MATCH("Impact/Effect of the RAID",'RAID Log'!$1:$1,0)),"")="","",IFERROR(INDEX('RAID Log'!$1:$1048576,$B43,MATCH("Impact/Effect of the RAID",'RAID Log'!$1:$1,0)),"")))</f>
        <v/>
      </c>
      <c r="E43" s="31" t="str">
        <f>IF($B43="","",IF(IFERROR(INDEX('RAID Log'!$1:$1048576,$B43,MATCH("Impact Area",'RAID Log'!$1:$1,0)),"")="","",IFERROR(INDEX('RAID Log'!$1:$1048576,$B43,MATCH("Impact Area",'RAID Log'!$1:$1,0)),"")))</f>
        <v/>
      </c>
      <c r="F43" s="31" t="str">
        <f>IF($B43="","",IF(IFERROR(INDEX('RAID Log'!$1:$1048576,$B43,MATCH("Impact Area",'RAID Log'!$1:$1,0)),"")="","",IFERROR(INDEX('RAID Log'!$1:$1048576,$B43,MATCH("Impact Area",'RAID Log'!$1:$1,0)),"")))</f>
        <v/>
      </c>
      <c r="G43" s="31" t="str">
        <f>IF($B43="","",IF(IFERROR(INDEX('RAID Log'!$1:$1048576,$B43,MATCH("Impact Rating",'RAID Log'!$1:$1,0)),"")="","",IFERROR(INDEX('RAID Log'!$1:$1048576,$B43,MATCH("Impact Rating",'RAID Log'!$1:$1,0)),"")))</f>
        <v/>
      </c>
      <c r="H43" s="31" t="str">
        <f>IF($B43="","",IF(IFERROR(INDEX('RAID Log'!$1:$1048576,$B43,MATCH("Initial Probability",'RAID Log'!$1:$1,0)),"")="","",IFERROR(INDEX('RAID Log'!$1:$1048576,$B43,MATCH("Initial Probability",'RAID Log'!$1:$1,0)),"")))</f>
        <v/>
      </c>
      <c r="I43" s="32" t="str">
        <f t="shared" si="0"/>
        <v/>
      </c>
      <c r="J43" s="31" t="str">
        <f t="shared" si="1"/>
        <v/>
      </c>
      <c r="K43" s="32" t="str">
        <f t="shared" si="3"/>
        <v/>
      </c>
      <c r="L43" s="31" t="str">
        <f>IF($B43="","",IF(IFERROR(INDEX('RAID Log'!$1:$1048576,$B43,MATCH("Status",'RAID Log'!$1:$1,0)),"")="","",IFERROR(INDEX('RAID Log'!$1:$1048576,$B43,MATCH("Status",'RAID Log'!$1:$1,0)),"")))</f>
        <v/>
      </c>
      <c r="M43" s="31" t="str">
        <f>IF($B43="","",IF(IFERROR(INDEX('RAID Log'!$1:$1048576,$B43,MATCH("RAID Owner",'RAID Log'!$1:$1,0)),"")="","",IFERROR(INDEX('RAID Log'!$1:$1048576,$B43,MATCH("RAID Owner",'RAID Log'!$1:$1,0)),"")))</f>
        <v/>
      </c>
      <c r="N43" s="33" t="str">
        <f>IF($B43="","",IF(IFERROR(INDEX('RAID Log'!$1:$1048576,$B43,MATCH("Date Raised",'RAID Log'!$1:$1,0)),"")="","",IFERROR(INDEX('RAID Log'!$1:$1048576,$B43,MATCH("Date Raised",'RAID Log'!$1:$1,0)),"")))</f>
        <v/>
      </c>
      <c r="O43" s="33" t="str">
        <f>IF($B43="","",IF(IFERROR(INDEX('RAID Log'!$1:$1048576,$B43,MATCH("Closed Date",'RAID Log'!$1:$1,0)),"")="","",IFERROR(INDEX('RAID Log'!$1:$1048576,$B43,MATCH("Closed Date",'RAID Log'!$1:$1,0)),"")))</f>
        <v/>
      </c>
      <c r="P43" s="31" t="str">
        <f>IF($B43="","",IF(IFERROR(INDEX('RAID Log'!$1:$1048576,$B43,MATCH("Mitigation Strategy",'RAID Log'!$1:$1,0)),"")="","",IFERROR(INDEX('RAID Log'!$1:$1048576,$B43,MATCH("Mitigation Strategy",'RAID Log'!$1:$1,0)),"")))</f>
        <v/>
      </c>
      <c r="Q43" s="34" t="str">
        <f>IF($B43="","",IF(IFERROR(INDEX('RAID Log'!$1:$1048576,$B43,MATCH("RAID Response/Plan",'RAID Log'!$1:$1,0)),"")="","",IFERROR(INDEX('RAID Log'!$1:$1048576,$B43,MATCH("RAID Response/Plan",'RAID Log'!$1:$1,0)),"")))</f>
        <v/>
      </c>
    </row>
    <row r="44" spans="1:17" ht="15" customHeight="1" thickTop="1" thickBot="1" x14ac:dyDescent="0.3">
      <c r="A44" s="28" t="str">
        <f>IF($B44="","",IF(IFERROR(INDEX('RAID Log'!$1:$1048576,$B44,MATCH("RAID ID",'RAID Log'!$1:$1,0)),"")="","",IFERROR(INDEX('RAID Log'!$1:$1048576,$B44,MATCH("RAID ID",'RAID Log'!$1:$1,0)),"")))</f>
        <v/>
      </c>
      <c r="B44" s="29" t="str">
        <f>IFERROR(MATCH(ROW()-1,'RAID Log'!$S:$S,0),"")</f>
        <v/>
      </c>
      <c r="C44" s="31" t="str">
        <f>IF($B44="","",IF(IFERROR(INDEX('RAID Log'!$1:$1048576,$B44,MATCH("Description",'RAID Log'!$1:$1,0)),"")="","",IFERROR(INDEX('RAID Log'!$1:$1048576,$B44,MATCH("Description",'RAID Log'!$1:$1,0)),"")))</f>
        <v/>
      </c>
      <c r="D44" s="31" t="str">
        <f>IF($B44="","",IF(IFERROR(INDEX('RAID Log'!$1:$1048576,$B44,MATCH("Impact/Effect of the RAID",'RAID Log'!$1:$1,0)),"")="","",IFERROR(INDEX('RAID Log'!$1:$1048576,$B44,MATCH("Impact/Effect of the RAID",'RAID Log'!$1:$1,0)),"")))</f>
        <v/>
      </c>
      <c r="E44" s="31" t="str">
        <f>IF($B44="","",IF(IFERROR(INDEX('RAID Log'!$1:$1048576,$B44,MATCH("Impact Area",'RAID Log'!$1:$1,0)),"")="","",IFERROR(INDEX('RAID Log'!$1:$1048576,$B44,MATCH("Impact Area",'RAID Log'!$1:$1,0)),"")))</f>
        <v/>
      </c>
      <c r="F44" s="31" t="str">
        <f>IF($B44="","",IF(IFERROR(INDEX('RAID Log'!$1:$1048576,$B44,MATCH("Impact Area",'RAID Log'!$1:$1,0)),"")="","",IFERROR(INDEX('RAID Log'!$1:$1048576,$B44,MATCH("Impact Area",'RAID Log'!$1:$1,0)),"")))</f>
        <v/>
      </c>
      <c r="G44" s="31" t="str">
        <f>IF($B44="","",IF(IFERROR(INDEX('RAID Log'!$1:$1048576,$B44,MATCH("Impact Rating",'RAID Log'!$1:$1,0)),"")="","",IFERROR(INDEX('RAID Log'!$1:$1048576,$B44,MATCH("Impact Rating",'RAID Log'!$1:$1,0)),"")))</f>
        <v/>
      </c>
      <c r="H44" s="31" t="str">
        <f>IF($B44="","",IF(IFERROR(INDEX('RAID Log'!$1:$1048576,$B44,MATCH("Initial Probability",'RAID Log'!$1:$1,0)),"")="","",IFERROR(INDEX('RAID Log'!$1:$1048576,$B44,MATCH("Initial Probability",'RAID Log'!$1:$1,0)),"")))</f>
        <v/>
      </c>
      <c r="I44" s="32" t="str">
        <f t="shared" si="0"/>
        <v/>
      </c>
      <c r="J44" s="31" t="str">
        <f t="shared" si="1"/>
        <v/>
      </c>
      <c r="K44" s="32" t="str">
        <f t="shared" si="3"/>
        <v/>
      </c>
      <c r="L44" s="31" t="str">
        <f>IF($B44="","",IF(IFERROR(INDEX('RAID Log'!$1:$1048576,$B44,MATCH("Status",'RAID Log'!$1:$1,0)),"")="","",IFERROR(INDEX('RAID Log'!$1:$1048576,$B44,MATCH("Status",'RAID Log'!$1:$1,0)),"")))</f>
        <v/>
      </c>
      <c r="M44" s="31" t="str">
        <f>IF($B44="","",IF(IFERROR(INDEX('RAID Log'!$1:$1048576,$B44,MATCH("RAID Owner",'RAID Log'!$1:$1,0)),"")="","",IFERROR(INDEX('RAID Log'!$1:$1048576,$B44,MATCH("RAID Owner",'RAID Log'!$1:$1,0)),"")))</f>
        <v/>
      </c>
      <c r="N44" s="33" t="str">
        <f>IF($B44="","",IF(IFERROR(INDEX('RAID Log'!$1:$1048576,$B44,MATCH("Date Raised",'RAID Log'!$1:$1,0)),"")="","",IFERROR(INDEX('RAID Log'!$1:$1048576,$B44,MATCH("Date Raised",'RAID Log'!$1:$1,0)),"")))</f>
        <v/>
      </c>
      <c r="O44" s="33" t="str">
        <f>IF($B44="","",IF(IFERROR(INDEX('RAID Log'!$1:$1048576,$B44,MATCH("Closed Date",'RAID Log'!$1:$1,0)),"")="","",IFERROR(INDEX('RAID Log'!$1:$1048576,$B44,MATCH("Closed Date",'RAID Log'!$1:$1,0)),"")))</f>
        <v/>
      </c>
      <c r="P44" s="31" t="str">
        <f>IF($B44="","",IF(IFERROR(INDEX('RAID Log'!$1:$1048576,$B44,MATCH("Mitigation Strategy",'RAID Log'!$1:$1,0)),"")="","",IFERROR(INDEX('RAID Log'!$1:$1048576,$B44,MATCH("Mitigation Strategy",'RAID Log'!$1:$1,0)),"")))</f>
        <v/>
      </c>
      <c r="Q44" s="34" t="str">
        <f>IF($B44="","",IF(IFERROR(INDEX('RAID Log'!$1:$1048576,$B44,MATCH("RAID Response/Plan",'RAID Log'!$1:$1,0)),"")="","",IFERROR(INDEX('RAID Log'!$1:$1048576,$B44,MATCH("RAID Response/Plan",'RAID Log'!$1:$1,0)),"")))</f>
        <v/>
      </c>
    </row>
    <row r="45" spans="1:17" ht="15" customHeight="1" thickTop="1" thickBot="1" x14ac:dyDescent="0.3">
      <c r="A45" s="28" t="str">
        <f>IF($B45="","",IF(IFERROR(INDEX('RAID Log'!$1:$1048576,$B45,MATCH("RAID ID",'RAID Log'!$1:$1,0)),"")="","",IFERROR(INDEX('RAID Log'!$1:$1048576,$B45,MATCH("RAID ID",'RAID Log'!$1:$1,0)),"")))</f>
        <v/>
      </c>
      <c r="B45" s="29" t="str">
        <f>IFERROR(MATCH(ROW()-1,'RAID Log'!$S:$S,0),"")</f>
        <v/>
      </c>
      <c r="C45" s="31" t="str">
        <f>IF($B45="","",IF(IFERROR(INDEX('RAID Log'!$1:$1048576,$B45,MATCH("Description",'RAID Log'!$1:$1,0)),"")="","",IFERROR(INDEX('RAID Log'!$1:$1048576,$B45,MATCH("Description",'RAID Log'!$1:$1,0)),"")))</f>
        <v/>
      </c>
      <c r="D45" s="31" t="str">
        <f>IF($B45="","",IF(IFERROR(INDEX('RAID Log'!$1:$1048576,$B45,MATCH("Impact/Effect of the RAID",'RAID Log'!$1:$1,0)),"")="","",IFERROR(INDEX('RAID Log'!$1:$1048576,$B45,MATCH("Impact/Effect of the RAID",'RAID Log'!$1:$1,0)),"")))</f>
        <v/>
      </c>
      <c r="E45" s="31" t="str">
        <f>IF($B45="","",IF(IFERROR(INDEX('RAID Log'!$1:$1048576,$B45,MATCH("Impact Area",'RAID Log'!$1:$1,0)),"")="","",IFERROR(INDEX('RAID Log'!$1:$1048576,$B45,MATCH("Impact Area",'RAID Log'!$1:$1,0)),"")))</f>
        <v/>
      </c>
      <c r="F45" s="31" t="str">
        <f>IF($B45="","",IF(IFERROR(INDEX('RAID Log'!$1:$1048576,$B45,MATCH("Impact Area",'RAID Log'!$1:$1,0)),"")="","",IFERROR(INDEX('RAID Log'!$1:$1048576,$B45,MATCH("Impact Area",'RAID Log'!$1:$1,0)),"")))</f>
        <v/>
      </c>
      <c r="G45" s="31" t="str">
        <f>IF($B45="","",IF(IFERROR(INDEX('RAID Log'!$1:$1048576,$B45,MATCH("Impact Rating",'RAID Log'!$1:$1,0)),"")="","",IFERROR(INDEX('RAID Log'!$1:$1048576,$B45,MATCH("Impact Rating",'RAID Log'!$1:$1,0)),"")))</f>
        <v/>
      </c>
      <c r="H45" s="31" t="str">
        <f>IF($B45="","",IF(IFERROR(INDEX('RAID Log'!$1:$1048576,$B45,MATCH("Initial Probability",'RAID Log'!$1:$1,0)),"")="","",IFERROR(INDEX('RAID Log'!$1:$1048576,$B45,MATCH("Initial Probability",'RAID Log'!$1:$1,0)),"")))</f>
        <v/>
      </c>
      <c r="I45" s="32" t="str">
        <f t="shared" si="0"/>
        <v/>
      </c>
      <c r="J45" s="31" t="str">
        <f t="shared" si="1"/>
        <v/>
      </c>
      <c r="K45" s="32" t="str">
        <f t="shared" si="3"/>
        <v/>
      </c>
      <c r="L45" s="31" t="str">
        <f>IF($B45="","",IF(IFERROR(INDEX('RAID Log'!$1:$1048576,$B45,MATCH("Status",'RAID Log'!$1:$1,0)),"")="","",IFERROR(INDEX('RAID Log'!$1:$1048576,$B45,MATCH("Status",'RAID Log'!$1:$1,0)),"")))</f>
        <v/>
      </c>
      <c r="M45" s="31" t="str">
        <f>IF($B45="","",IF(IFERROR(INDEX('RAID Log'!$1:$1048576,$B45,MATCH("RAID Owner",'RAID Log'!$1:$1,0)),"")="","",IFERROR(INDEX('RAID Log'!$1:$1048576,$B45,MATCH("RAID Owner",'RAID Log'!$1:$1,0)),"")))</f>
        <v/>
      </c>
      <c r="N45" s="33" t="str">
        <f>IF($B45="","",IF(IFERROR(INDEX('RAID Log'!$1:$1048576,$B45,MATCH("Date Raised",'RAID Log'!$1:$1,0)),"")="","",IFERROR(INDEX('RAID Log'!$1:$1048576,$B45,MATCH("Date Raised",'RAID Log'!$1:$1,0)),"")))</f>
        <v/>
      </c>
      <c r="O45" s="33" t="str">
        <f>IF($B45="","",IF(IFERROR(INDEX('RAID Log'!$1:$1048576,$B45,MATCH("Closed Date",'RAID Log'!$1:$1,0)),"")="","",IFERROR(INDEX('RAID Log'!$1:$1048576,$B45,MATCH("Closed Date",'RAID Log'!$1:$1,0)),"")))</f>
        <v/>
      </c>
      <c r="P45" s="31" t="str">
        <f>IF($B45="","",IF(IFERROR(INDEX('RAID Log'!$1:$1048576,$B45,MATCH("Mitigation Strategy",'RAID Log'!$1:$1,0)),"")="","",IFERROR(INDEX('RAID Log'!$1:$1048576,$B45,MATCH("Mitigation Strategy",'RAID Log'!$1:$1,0)),"")))</f>
        <v/>
      </c>
      <c r="Q45" s="34" t="str">
        <f>IF($B45="","",IF(IFERROR(INDEX('RAID Log'!$1:$1048576,$B45,MATCH("RAID Response/Plan",'RAID Log'!$1:$1,0)),"")="","",IFERROR(INDEX('RAID Log'!$1:$1048576,$B45,MATCH("RAID Response/Plan",'RAID Log'!$1:$1,0)),"")))</f>
        <v/>
      </c>
    </row>
    <row r="46" spans="1:17" ht="15" customHeight="1" thickTop="1" thickBot="1" x14ac:dyDescent="0.3">
      <c r="A46" s="28" t="str">
        <f>IF($B46="","",IF(IFERROR(INDEX('RAID Log'!$1:$1048576,$B46,MATCH("RAID ID",'RAID Log'!$1:$1,0)),"")="","",IFERROR(INDEX('RAID Log'!$1:$1048576,$B46,MATCH("RAID ID",'RAID Log'!$1:$1,0)),"")))</f>
        <v/>
      </c>
      <c r="B46" s="29" t="str">
        <f>IFERROR(MATCH(ROW()-1,'RAID Log'!$S:$S,0),"")</f>
        <v/>
      </c>
      <c r="C46" s="31" t="str">
        <f>IF($B46="","",IF(IFERROR(INDEX('RAID Log'!$1:$1048576,$B46,MATCH("Description",'RAID Log'!$1:$1,0)),"")="","",IFERROR(INDEX('RAID Log'!$1:$1048576,$B46,MATCH("Description",'RAID Log'!$1:$1,0)),"")))</f>
        <v/>
      </c>
      <c r="D46" s="31" t="str">
        <f>IF($B46="","",IF(IFERROR(INDEX('RAID Log'!$1:$1048576,$B46,MATCH("Impact/Effect of the RAID",'RAID Log'!$1:$1,0)),"")="","",IFERROR(INDEX('RAID Log'!$1:$1048576,$B46,MATCH("Impact/Effect of the RAID",'RAID Log'!$1:$1,0)),"")))</f>
        <v/>
      </c>
      <c r="E46" s="31" t="str">
        <f>IF($B46="","",IF(IFERROR(INDEX('RAID Log'!$1:$1048576,$B46,MATCH("Impact Area",'RAID Log'!$1:$1,0)),"")="","",IFERROR(INDEX('RAID Log'!$1:$1048576,$B46,MATCH("Impact Area",'RAID Log'!$1:$1,0)),"")))</f>
        <v/>
      </c>
      <c r="F46" s="31" t="str">
        <f>IF($B46="","",IF(IFERROR(INDEX('RAID Log'!$1:$1048576,$B46,MATCH("Impact Area",'RAID Log'!$1:$1,0)),"")="","",IFERROR(INDEX('RAID Log'!$1:$1048576,$B46,MATCH("Impact Area",'RAID Log'!$1:$1,0)),"")))</f>
        <v/>
      </c>
      <c r="G46" s="31" t="str">
        <f>IF($B46="","",IF(IFERROR(INDEX('RAID Log'!$1:$1048576,$B46,MATCH("Impact Rating",'RAID Log'!$1:$1,0)),"")="","",IFERROR(INDEX('RAID Log'!$1:$1048576,$B46,MATCH("Impact Rating",'RAID Log'!$1:$1,0)),"")))</f>
        <v/>
      </c>
      <c r="H46" s="31" t="str">
        <f>IF($B46="","",IF(IFERROR(INDEX('RAID Log'!$1:$1048576,$B46,MATCH("Initial Probability",'RAID Log'!$1:$1,0)),"")="","",IFERROR(INDEX('RAID Log'!$1:$1048576,$B46,MATCH("Initial Probability",'RAID Log'!$1:$1,0)),"")))</f>
        <v/>
      </c>
      <c r="I46" s="32" t="str">
        <f t="shared" si="0"/>
        <v/>
      </c>
      <c r="J46" s="31" t="str">
        <f t="shared" si="1"/>
        <v/>
      </c>
      <c r="K46" s="32" t="str">
        <f t="shared" si="3"/>
        <v/>
      </c>
      <c r="L46" s="31" t="str">
        <f>IF($B46="","",IF(IFERROR(INDEX('RAID Log'!$1:$1048576,$B46,MATCH("Status",'RAID Log'!$1:$1,0)),"")="","",IFERROR(INDEX('RAID Log'!$1:$1048576,$B46,MATCH("Status",'RAID Log'!$1:$1,0)),"")))</f>
        <v/>
      </c>
      <c r="M46" s="31" t="str">
        <f>IF($B46="","",IF(IFERROR(INDEX('RAID Log'!$1:$1048576,$B46,MATCH("RAID Owner",'RAID Log'!$1:$1,0)),"")="","",IFERROR(INDEX('RAID Log'!$1:$1048576,$B46,MATCH("RAID Owner",'RAID Log'!$1:$1,0)),"")))</f>
        <v/>
      </c>
      <c r="N46" s="33" t="str">
        <f>IF($B46="","",IF(IFERROR(INDEX('RAID Log'!$1:$1048576,$B46,MATCH("Date Raised",'RAID Log'!$1:$1,0)),"")="","",IFERROR(INDEX('RAID Log'!$1:$1048576,$B46,MATCH("Date Raised",'RAID Log'!$1:$1,0)),"")))</f>
        <v/>
      </c>
      <c r="O46" s="33" t="str">
        <f>IF($B46="","",IF(IFERROR(INDEX('RAID Log'!$1:$1048576,$B46,MATCH("Closed Date",'RAID Log'!$1:$1,0)),"")="","",IFERROR(INDEX('RAID Log'!$1:$1048576,$B46,MATCH("Closed Date",'RAID Log'!$1:$1,0)),"")))</f>
        <v/>
      </c>
      <c r="P46" s="31" t="str">
        <f>IF($B46="","",IF(IFERROR(INDEX('RAID Log'!$1:$1048576,$B46,MATCH("Mitigation Strategy",'RAID Log'!$1:$1,0)),"")="","",IFERROR(INDEX('RAID Log'!$1:$1048576,$B46,MATCH("Mitigation Strategy",'RAID Log'!$1:$1,0)),"")))</f>
        <v/>
      </c>
      <c r="Q46" s="34" t="str">
        <f>IF($B46="","",IF(IFERROR(INDEX('RAID Log'!$1:$1048576,$B46,MATCH("RAID Response/Plan",'RAID Log'!$1:$1,0)),"")="","",IFERROR(INDEX('RAID Log'!$1:$1048576,$B46,MATCH("RAID Response/Plan",'RAID Log'!$1:$1,0)),"")))</f>
        <v/>
      </c>
    </row>
    <row r="47" spans="1:17" ht="15" customHeight="1" thickTop="1" thickBot="1" x14ac:dyDescent="0.3">
      <c r="A47" s="28" t="str">
        <f>IF($B47="","",IF(IFERROR(INDEX('RAID Log'!$1:$1048576,$B47,MATCH("RAID ID",'RAID Log'!$1:$1,0)),"")="","",IFERROR(INDEX('RAID Log'!$1:$1048576,$B47,MATCH("RAID ID",'RAID Log'!$1:$1,0)),"")))</f>
        <v/>
      </c>
      <c r="B47" s="29" t="str">
        <f>IFERROR(MATCH(ROW()-1,'RAID Log'!$S:$S,0),"")</f>
        <v/>
      </c>
      <c r="C47" s="31" t="str">
        <f>IF($B47="","",IF(IFERROR(INDEX('RAID Log'!$1:$1048576,$B47,MATCH("Description",'RAID Log'!$1:$1,0)),"")="","",IFERROR(INDEX('RAID Log'!$1:$1048576,$B47,MATCH("Description",'RAID Log'!$1:$1,0)),"")))</f>
        <v/>
      </c>
      <c r="D47" s="31" t="str">
        <f>IF($B47="","",IF(IFERROR(INDEX('RAID Log'!$1:$1048576,$B47,MATCH("Impact/Effect of the RAID",'RAID Log'!$1:$1,0)),"")="","",IFERROR(INDEX('RAID Log'!$1:$1048576,$B47,MATCH("Impact/Effect of the RAID",'RAID Log'!$1:$1,0)),"")))</f>
        <v/>
      </c>
      <c r="E47" s="31" t="str">
        <f>IF($B47="","",IF(IFERROR(INDEX('RAID Log'!$1:$1048576,$B47,MATCH("Impact Area",'RAID Log'!$1:$1,0)),"")="","",IFERROR(INDEX('RAID Log'!$1:$1048576,$B47,MATCH("Impact Area",'RAID Log'!$1:$1,0)),"")))</f>
        <v/>
      </c>
      <c r="F47" s="31" t="str">
        <f>IF($B47="","",IF(IFERROR(INDEX('RAID Log'!$1:$1048576,$B47,MATCH("Impact Area",'RAID Log'!$1:$1,0)),"")="","",IFERROR(INDEX('RAID Log'!$1:$1048576,$B47,MATCH("Impact Area",'RAID Log'!$1:$1,0)),"")))</f>
        <v/>
      </c>
      <c r="G47" s="31" t="str">
        <f>IF($B47="","",IF(IFERROR(INDEX('RAID Log'!$1:$1048576,$B47,MATCH("Impact Rating",'RAID Log'!$1:$1,0)),"")="","",IFERROR(INDEX('RAID Log'!$1:$1048576,$B47,MATCH("Impact Rating",'RAID Log'!$1:$1,0)),"")))</f>
        <v/>
      </c>
      <c r="H47" s="31" t="str">
        <f>IF($B47="","",IF(IFERROR(INDEX('RAID Log'!$1:$1048576,$B47,MATCH("Initial Probability",'RAID Log'!$1:$1,0)),"")="","",IFERROR(INDEX('RAID Log'!$1:$1048576,$B47,MATCH("Initial Probability",'RAID Log'!$1:$1,0)),"")))</f>
        <v/>
      </c>
      <c r="I47" s="32" t="str">
        <f t="shared" si="0"/>
        <v/>
      </c>
      <c r="J47" s="31" t="str">
        <f t="shared" si="1"/>
        <v/>
      </c>
      <c r="K47" s="32" t="str">
        <f t="shared" si="3"/>
        <v/>
      </c>
      <c r="L47" s="31" t="str">
        <f>IF($B47="","",IF(IFERROR(INDEX('RAID Log'!$1:$1048576,$B47,MATCH("Status",'RAID Log'!$1:$1,0)),"")="","",IFERROR(INDEX('RAID Log'!$1:$1048576,$B47,MATCH("Status",'RAID Log'!$1:$1,0)),"")))</f>
        <v/>
      </c>
      <c r="M47" s="31" t="str">
        <f>IF($B47="","",IF(IFERROR(INDEX('RAID Log'!$1:$1048576,$B47,MATCH("RAID Owner",'RAID Log'!$1:$1,0)),"")="","",IFERROR(INDEX('RAID Log'!$1:$1048576,$B47,MATCH("RAID Owner",'RAID Log'!$1:$1,0)),"")))</f>
        <v/>
      </c>
      <c r="N47" s="33" t="str">
        <f>IF($B47="","",IF(IFERROR(INDEX('RAID Log'!$1:$1048576,$B47,MATCH("Date Raised",'RAID Log'!$1:$1,0)),"")="","",IFERROR(INDEX('RAID Log'!$1:$1048576,$B47,MATCH("Date Raised",'RAID Log'!$1:$1,0)),"")))</f>
        <v/>
      </c>
      <c r="O47" s="33" t="str">
        <f>IF($B47="","",IF(IFERROR(INDEX('RAID Log'!$1:$1048576,$B47,MATCH("Closed Date",'RAID Log'!$1:$1,0)),"")="","",IFERROR(INDEX('RAID Log'!$1:$1048576,$B47,MATCH("Closed Date",'RAID Log'!$1:$1,0)),"")))</f>
        <v/>
      </c>
      <c r="P47" s="31" t="str">
        <f>IF($B47="","",IF(IFERROR(INDEX('RAID Log'!$1:$1048576,$B47,MATCH("Mitigation Strategy",'RAID Log'!$1:$1,0)),"")="","",IFERROR(INDEX('RAID Log'!$1:$1048576,$B47,MATCH("Mitigation Strategy",'RAID Log'!$1:$1,0)),"")))</f>
        <v/>
      </c>
      <c r="Q47" s="34" t="str">
        <f>IF($B47="","",IF(IFERROR(INDEX('RAID Log'!$1:$1048576,$B47,MATCH("RAID Response/Plan",'RAID Log'!$1:$1,0)),"")="","",IFERROR(INDEX('RAID Log'!$1:$1048576,$B47,MATCH("RAID Response/Plan",'RAID Log'!$1:$1,0)),"")))</f>
        <v/>
      </c>
    </row>
    <row r="48" spans="1:17" ht="15" customHeight="1" thickTop="1" thickBot="1" x14ac:dyDescent="0.3">
      <c r="A48" s="28" t="str">
        <f>IF($B48="","",IF(IFERROR(INDEX('RAID Log'!$1:$1048576,$B48,MATCH("RAID ID",'RAID Log'!$1:$1,0)),"")="","",IFERROR(INDEX('RAID Log'!$1:$1048576,$B48,MATCH("RAID ID",'RAID Log'!$1:$1,0)),"")))</f>
        <v/>
      </c>
      <c r="B48" s="29" t="str">
        <f>IFERROR(MATCH(ROW()-1,'RAID Log'!$S:$S,0),"")</f>
        <v/>
      </c>
      <c r="C48" s="31" t="str">
        <f>IF($B48="","",IF(IFERROR(INDEX('RAID Log'!$1:$1048576,$B48,MATCH("Description",'RAID Log'!$1:$1,0)),"")="","",IFERROR(INDEX('RAID Log'!$1:$1048576,$B48,MATCH("Description",'RAID Log'!$1:$1,0)),"")))</f>
        <v/>
      </c>
      <c r="D48" s="31" t="str">
        <f>IF($B48="","",IF(IFERROR(INDEX('RAID Log'!$1:$1048576,$B48,MATCH("Impact/Effect of the RAID",'RAID Log'!$1:$1,0)),"")="","",IFERROR(INDEX('RAID Log'!$1:$1048576,$B48,MATCH("Impact/Effect of the RAID",'RAID Log'!$1:$1,0)),"")))</f>
        <v/>
      </c>
      <c r="E48" s="31" t="str">
        <f>IF($B48="","",IF(IFERROR(INDEX('RAID Log'!$1:$1048576,$B48,MATCH("Impact Area",'RAID Log'!$1:$1,0)),"")="","",IFERROR(INDEX('RAID Log'!$1:$1048576,$B48,MATCH("Impact Area",'RAID Log'!$1:$1,0)),"")))</f>
        <v/>
      </c>
      <c r="F48" s="31" t="str">
        <f>IF($B48="","",IF(IFERROR(INDEX('RAID Log'!$1:$1048576,$B48,MATCH("Impact Area",'RAID Log'!$1:$1,0)),"")="","",IFERROR(INDEX('RAID Log'!$1:$1048576,$B48,MATCH("Impact Area",'RAID Log'!$1:$1,0)),"")))</f>
        <v/>
      </c>
      <c r="G48" s="31" t="str">
        <f>IF($B48="","",IF(IFERROR(INDEX('RAID Log'!$1:$1048576,$B48,MATCH("Impact Rating",'RAID Log'!$1:$1,0)),"")="","",IFERROR(INDEX('RAID Log'!$1:$1048576,$B48,MATCH("Impact Rating",'RAID Log'!$1:$1,0)),"")))</f>
        <v/>
      </c>
      <c r="H48" s="31" t="str">
        <f>IF($B48="","",IF(IFERROR(INDEX('RAID Log'!$1:$1048576,$B48,MATCH("Initial Probability",'RAID Log'!$1:$1,0)),"")="","",IFERROR(INDEX('RAID Log'!$1:$1048576,$B48,MATCH("Initial Probability",'RAID Log'!$1:$1,0)),"")))</f>
        <v/>
      </c>
      <c r="I48" s="32" t="str">
        <f t="shared" si="0"/>
        <v/>
      </c>
      <c r="J48" s="31" t="str">
        <f t="shared" si="1"/>
        <v/>
      </c>
      <c r="K48" s="32" t="str">
        <f t="shared" si="3"/>
        <v/>
      </c>
      <c r="L48" s="31" t="str">
        <f>IF($B48="","",IF(IFERROR(INDEX('RAID Log'!$1:$1048576,$B48,MATCH("Status",'RAID Log'!$1:$1,0)),"")="","",IFERROR(INDEX('RAID Log'!$1:$1048576,$B48,MATCH("Status",'RAID Log'!$1:$1,0)),"")))</f>
        <v/>
      </c>
      <c r="M48" s="31" t="str">
        <f>IF($B48="","",IF(IFERROR(INDEX('RAID Log'!$1:$1048576,$B48,MATCH("RAID Owner",'RAID Log'!$1:$1,0)),"")="","",IFERROR(INDEX('RAID Log'!$1:$1048576,$B48,MATCH("RAID Owner",'RAID Log'!$1:$1,0)),"")))</f>
        <v/>
      </c>
      <c r="N48" s="33" t="str">
        <f>IF($B48="","",IF(IFERROR(INDEX('RAID Log'!$1:$1048576,$B48,MATCH("Date Raised",'RAID Log'!$1:$1,0)),"")="","",IFERROR(INDEX('RAID Log'!$1:$1048576,$B48,MATCH("Date Raised",'RAID Log'!$1:$1,0)),"")))</f>
        <v/>
      </c>
      <c r="O48" s="33" t="str">
        <f>IF($B48="","",IF(IFERROR(INDEX('RAID Log'!$1:$1048576,$B48,MATCH("Closed Date",'RAID Log'!$1:$1,0)),"")="","",IFERROR(INDEX('RAID Log'!$1:$1048576,$B48,MATCH("Closed Date",'RAID Log'!$1:$1,0)),"")))</f>
        <v/>
      </c>
      <c r="P48" s="31" t="str">
        <f>IF($B48="","",IF(IFERROR(INDEX('RAID Log'!$1:$1048576,$B48,MATCH("Mitigation Strategy",'RAID Log'!$1:$1,0)),"")="","",IFERROR(INDEX('RAID Log'!$1:$1048576,$B48,MATCH("Mitigation Strategy",'RAID Log'!$1:$1,0)),"")))</f>
        <v/>
      </c>
      <c r="Q48" s="34" t="str">
        <f>IF($B48="","",IF(IFERROR(INDEX('RAID Log'!$1:$1048576,$B48,MATCH("RAID Response/Plan",'RAID Log'!$1:$1,0)),"")="","",IFERROR(INDEX('RAID Log'!$1:$1048576,$B48,MATCH("RAID Response/Plan",'RAID Log'!$1:$1,0)),"")))</f>
        <v/>
      </c>
    </row>
    <row r="49" spans="1:17" ht="15" customHeight="1" thickTop="1" thickBot="1" x14ac:dyDescent="0.3">
      <c r="A49" s="28" t="str">
        <f>IF($B49="","",IF(IFERROR(INDEX('RAID Log'!$1:$1048576,$B49,MATCH("RAID ID",'RAID Log'!$1:$1,0)),"")="","",IFERROR(INDEX('RAID Log'!$1:$1048576,$B49,MATCH("RAID ID",'RAID Log'!$1:$1,0)),"")))</f>
        <v/>
      </c>
      <c r="B49" s="29" t="str">
        <f>IFERROR(MATCH(ROW()-1,'RAID Log'!$S:$S,0),"")</f>
        <v/>
      </c>
      <c r="C49" s="31" t="str">
        <f>IF($B49="","",IF(IFERROR(INDEX('RAID Log'!$1:$1048576,$B49,MATCH("Description",'RAID Log'!$1:$1,0)),"")="","",IFERROR(INDEX('RAID Log'!$1:$1048576,$B49,MATCH("Description",'RAID Log'!$1:$1,0)),"")))</f>
        <v/>
      </c>
      <c r="D49" s="31" t="str">
        <f>IF($B49="","",IF(IFERROR(INDEX('RAID Log'!$1:$1048576,$B49,MATCH("Impact/Effect of the RAID",'RAID Log'!$1:$1,0)),"")="","",IFERROR(INDEX('RAID Log'!$1:$1048576,$B49,MATCH("Impact/Effect of the RAID",'RAID Log'!$1:$1,0)),"")))</f>
        <v/>
      </c>
      <c r="E49" s="31" t="str">
        <f>IF($B49="","",IF(IFERROR(INDEX('RAID Log'!$1:$1048576,$B49,MATCH("Impact Area",'RAID Log'!$1:$1,0)),"")="","",IFERROR(INDEX('RAID Log'!$1:$1048576,$B49,MATCH("Impact Area",'RAID Log'!$1:$1,0)),"")))</f>
        <v/>
      </c>
      <c r="F49" s="31" t="str">
        <f>IF($B49="","",IF(IFERROR(INDEX('RAID Log'!$1:$1048576,$B49,MATCH("Impact Area",'RAID Log'!$1:$1,0)),"")="","",IFERROR(INDEX('RAID Log'!$1:$1048576,$B49,MATCH("Impact Area",'RAID Log'!$1:$1,0)),"")))</f>
        <v/>
      </c>
      <c r="G49" s="31" t="str">
        <f>IF($B49="","",IF(IFERROR(INDEX('RAID Log'!$1:$1048576,$B49,MATCH("Impact Rating",'RAID Log'!$1:$1,0)),"")="","",IFERROR(INDEX('RAID Log'!$1:$1048576,$B49,MATCH("Impact Rating",'RAID Log'!$1:$1,0)),"")))</f>
        <v/>
      </c>
      <c r="H49" s="31" t="str">
        <f>IF($B49="","",IF(IFERROR(INDEX('RAID Log'!$1:$1048576,$B49,MATCH("Initial Probability",'RAID Log'!$1:$1,0)),"")="","",IFERROR(INDEX('RAID Log'!$1:$1048576,$B49,MATCH("Initial Probability",'RAID Log'!$1:$1,0)),"")))</f>
        <v/>
      </c>
      <c r="I49" s="32" t="str">
        <f t="shared" si="0"/>
        <v/>
      </c>
      <c r="J49" s="31" t="str">
        <f t="shared" si="1"/>
        <v/>
      </c>
      <c r="K49" s="32" t="str">
        <f t="shared" si="3"/>
        <v/>
      </c>
      <c r="L49" s="31" t="str">
        <f>IF($B49="","",IF(IFERROR(INDEX('RAID Log'!$1:$1048576,$B49,MATCH("Status",'RAID Log'!$1:$1,0)),"")="","",IFERROR(INDEX('RAID Log'!$1:$1048576,$B49,MATCH("Status",'RAID Log'!$1:$1,0)),"")))</f>
        <v/>
      </c>
      <c r="M49" s="31" t="str">
        <f>IF($B49="","",IF(IFERROR(INDEX('RAID Log'!$1:$1048576,$B49,MATCH("RAID Owner",'RAID Log'!$1:$1,0)),"")="","",IFERROR(INDEX('RAID Log'!$1:$1048576,$B49,MATCH("RAID Owner",'RAID Log'!$1:$1,0)),"")))</f>
        <v/>
      </c>
      <c r="N49" s="33" t="str">
        <f>IF($B49="","",IF(IFERROR(INDEX('RAID Log'!$1:$1048576,$B49,MATCH("Date Raised",'RAID Log'!$1:$1,0)),"")="","",IFERROR(INDEX('RAID Log'!$1:$1048576,$B49,MATCH("Date Raised",'RAID Log'!$1:$1,0)),"")))</f>
        <v/>
      </c>
      <c r="O49" s="33" t="str">
        <f>IF($B49="","",IF(IFERROR(INDEX('RAID Log'!$1:$1048576,$B49,MATCH("Closed Date",'RAID Log'!$1:$1,0)),"")="","",IFERROR(INDEX('RAID Log'!$1:$1048576,$B49,MATCH("Closed Date",'RAID Log'!$1:$1,0)),"")))</f>
        <v/>
      </c>
      <c r="P49" s="31" t="str">
        <f>IF($B49="","",IF(IFERROR(INDEX('RAID Log'!$1:$1048576,$B49,MATCH("Mitigation Strategy",'RAID Log'!$1:$1,0)),"")="","",IFERROR(INDEX('RAID Log'!$1:$1048576,$B49,MATCH("Mitigation Strategy",'RAID Log'!$1:$1,0)),"")))</f>
        <v/>
      </c>
      <c r="Q49" s="34" t="str">
        <f>IF($B49="","",IF(IFERROR(INDEX('RAID Log'!$1:$1048576,$B49,MATCH("RAID Response/Plan",'RAID Log'!$1:$1,0)),"")="","",IFERROR(INDEX('RAID Log'!$1:$1048576,$B49,MATCH("RAID Response/Plan",'RAID Log'!$1:$1,0)),"")))</f>
        <v/>
      </c>
    </row>
    <row r="50" spans="1:17" ht="15" customHeight="1" thickTop="1" thickBot="1" x14ac:dyDescent="0.3">
      <c r="A50" s="28" t="str">
        <f>IF($B50="","",IF(IFERROR(INDEX('RAID Log'!$1:$1048576,$B50,MATCH("RAID ID",'RAID Log'!$1:$1,0)),"")="","",IFERROR(INDEX('RAID Log'!$1:$1048576,$B50,MATCH("RAID ID",'RAID Log'!$1:$1,0)),"")))</f>
        <v/>
      </c>
      <c r="B50" s="29" t="str">
        <f>IFERROR(MATCH(ROW()-1,'RAID Log'!$S:$S,0),"")</f>
        <v/>
      </c>
      <c r="C50" s="31" t="str">
        <f>IF($B50="","",IF(IFERROR(INDEX('RAID Log'!$1:$1048576,$B50,MATCH("Description",'RAID Log'!$1:$1,0)),"")="","",IFERROR(INDEX('RAID Log'!$1:$1048576,$B50,MATCH("Description",'RAID Log'!$1:$1,0)),"")))</f>
        <v/>
      </c>
      <c r="D50" s="31" t="str">
        <f>IF($B50="","",IF(IFERROR(INDEX('RAID Log'!$1:$1048576,$B50,MATCH("Impact/Effect of the RAID",'RAID Log'!$1:$1,0)),"")="","",IFERROR(INDEX('RAID Log'!$1:$1048576,$B50,MATCH("Impact/Effect of the RAID",'RAID Log'!$1:$1,0)),"")))</f>
        <v/>
      </c>
      <c r="E50" s="31" t="str">
        <f>IF($B50="","",IF(IFERROR(INDEX('RAID Log'!$1:$1048576,$B50,MATCH("Impact Area",'RAID Log'!$1:$1,0)),"")="","",IFERROR(INDEX('RAID Log'!$1:$1048576,$B50,MATCH("Impact Area",'RAID Log'!$1:$1,0)),"")))</f>
        <v/>
      </c>
      <c r="F50" s="31" t="str">
        <f>IF($B50="","",IF(IFERROR(INDEX('RAID Log'!$1:$1048576,$B50,MATCH("Impact Area",'RAID Log'!$1:$1,0)),"")="","",IFERROR(INDEX('RAID Log'!$1:$1048576,$B50,MATCH("Impact Area",'RAID Log'!$1:$1,0)),"")))</f>
        <v/>
      </c>
      <c r="G50" s="31" t="str">
        <f>IF($B50="","",IF(IFERROR(INDEX('RAID Log'!$1:$1048576,$B50,MATCH("Impact Rating",'RAID Log'!$1:$1,0)),"")="","",IFERROR(INDEX('RAID Log'!$1:$1048576,$B50,MATCH("Impact Rating",'RAID Log'!$1:$1,0)),"")))</f>
        <v/>
      </c>
      <c r="H50" s="31" t="str">
        <f>IF($B50="","",IF(IFERROR(INDEX('RAID Log'!$1:$1048576,$B50,MATCH("Initial Probability",'RAID Log'!$1:$1,0)),"")="","",IFERROR(INDEX('RAID Log'!$1:$1048576,$B50,MATCH("Initial Probability",'RAID Log'!$1:$1,0)),"")))</f>
        <v/>
      </c>
      <c r="I50" s="32" t="str">
        <f t="shared" si="0"/>
        <v/>
      </c>
      <c r="J50" s="31" t="str">
        <f t="shared" si="1"/>
        <v/>
      </c>
      <c r="K50" s="32" t="str">
        <f t="shared" si="3"/>
        <v/>
      </c>
      <c r="L50" s="31" t="str">
        <f>IF($B50="","",IF(IFERROR(INDEX('RAID Log'!$1:$1048576,$B50,MATCH("Status",'RAID Log'!$1:$1,0)),"")="","",IFERROR(INDEX('RAID Log'!$1:$1048576,$B50,MATCH("Status",'RAID Log'!$1:$1,0)),"")))</f>
        <v/>
      </c>
      <c r="M50" s="31" t="str">
        <f>IF($B50="","",IF(IFERROR(INDEX('RAID Log'!$1:$1048576,$B50,MATCH("RAID Owner",'RAID Log'!$1:$1,0)),"")="","",IFERROR(INDEX('RAID Log'!$1:$1048576,$B50,MATCH("RAID Owner",'RAID Log'!$1:$1,0)),"")))</f>
        <v/>
      </c>
      <c r="N50" s="33" t="str">
        <f>IF($B50="","",IF(IFERROR(INDEX('RAID Log'!$1:$1048576,$B50,MATCH("Date Raised",'RAID Log'!$1:$1,0)),"")="","",IFERROR(INDEX('RAID Log'!$1:$1048576,$B50,MATCH("Date Raised",'RAID Log'!$1:$1,0)),"")))</f>
        <v/>
      </c>
      <c r="O50" s="33" t="str">
        <f>IF($B50="","",IF(IFERROR(INDEX('RAID Log'!$1:$1048576,$B50,MATCH("Closed Date",'RAID Log'!$1:$1,0)),"")="","",IFERROR(INDEX('RAID Log'!$1:$1048576,$B50,MATCH("Closed Date",'RAID Log'!$1:$1,0)),"")))</f>
        <v/>
      </c>
      <c r="P50" s="31" t="str">
        <f>IF($B50="","",IF(IFERROR(INDEX('RAID Log'!$1:$1048576,$B50,MATCH("Mitigation Strategy",'RAID Log'!$1:$1,0)),"")="","",IFERROR(INDEX('RAID Log'!$1:$1048576,$B50,MATCH("Mitigation Strategy",'RAID Log'!$1:$1,0)),"")))</f>
        <v/>
      </c>
      <c r="Q50" s="34" t="str">
        <f>IF($B50="","",IF(IFERROR(INDEX('RAID Log'!$1:$1048576,$B50,MATCH("RAID Response/Plan",'RAID Log'!$1:$1,0)),"")="","",IFERROR(INDEX('RAID Log'!$1:$1048576,$B50,MATCH("RAID Response/Plan",'RAID Log'!$1:$1,0)),"")))</f>
        <v/>
      </c>
    </row>
    <row r="51" spans="1:17" ht="15" customHeight="1" thickTop="1" thickBot="1" x14ac:dyDescent="0.3">
      <c r="A51" s="28" t="str">
        <f>IF($B51="","",IF(IFERROR(INDEX('RAID Log'!$1:$1048576,$B51,MATCH("RAID ID",'RAID Log'!$1:$1,0)),"")="","",IFERROR(INDEX('RAID Log'!$1:$1048576,$B51,MATCH("RAID ID",'RAID Log'!$1:$1,0)),"")))</f>
        <v/>
      </c>
      <c r="B51" s="29" t="str">
        <f>IFERROR(MATCH(ROW()-1,'RAID Log'!$S:$S,0),"")</f>
        <v/>
      </c>
      <c r="C51" s="31" t="str">
        <f>IF($B51="","",IF(IFERROR(INDEX('RAID Log'!$1:$1048576,$B51,MATCH("Description",'RAID Log'!$1:$1,0)),"")="","",IFERROR(INDEX('RAID Log'!$1:$1048576,$B51,MATCH("Description",'RAID Log'!$1:$1,0)),"")))</f>
        <v/>
      </c>
      <c r="D51" s="31" t="str">
        <f>IF($B51="","",IF(IFERROR(INDEX('RAID Log'!$1:$1048576,$B51,MATCH("Impact/Effect of the RAID",'RAID Log'!$1:$1,0)),"")="","",IFERROR(INDEX('RAID Log'!$1:$1048576,$B51,MATCH("Impact/Effect of the RAID",'RAID Log'!$1:$1,0)),"")))</f>
        <v/>
      </c>
      <c r="E51" s="31" t="str">
        <f>IF($B51="","",IF(IFERROR(INDEX('RAID Log'!$1:$1048576,$B51,MATCH("Impact Area",'RAID Log'!$1:$1,0)),"")="","",IFERROR(INDEX('RAID Log'!$1:$1048576,$B51,MATCH("Impact Area",'RAID Log'!$1:$1,0)),"")))</f>
        <v/>
      </c>
      <c r="F51" s="31" t="str">
        <f>IF($B51="","",IF(IFERROR(INDEX('RAID Log'!$1:$1048576,$B51,MATCH("Impact Area",'RAID Log'!$1:$1,0)),"")="","",IFERROR(INDEX('RAID Log'!$1:$1048576,$B51,MATCH("Impact Area",'RAID Log'!$1:$1,0)),"")))</f>
        <v/>
      </c>
      <c r="G51" s="31" t="str">
        <f>IF($B51="","",IF(IFERROR(INDEX('RAID Log'!$1:$1048576,$B51,MATCH("Impact Rating",'RAID Log'!$1:$1,0)),"")="","",IFERROR(INDEX('RAID Log'!$1:$1048576,$B51,MATCH("Impact Rating",'RAID Log'!$1:$1,0)),"")))</f>
        <v/>
      </c>
      <c r="H51" s="31" t="str">
        <f>IF($B51="","",IF(IFERROR(INDEX('RAID Log'!$1:$1048576,$B51,MATCH("Initial Probability",'RAID Log'!$1:$1,0)),"")="","",IFERROR(INDEX('RAID Log'!$1:$1048576,$B51,MATCH("Initial Probability",'RAID Log'!$1:$1,0)),"")))</f>
        <v/>
      </c>
      <c r="I51" s="32" t="str">
        <f t="shared" si="0"/>
        <v/>
      </c>
      <c r="J51" s="31" t="str">
        <f t="shared" si="1"/>
        <v/>
      </c>
      <c r="K51" s="32" t="str">
        <f t="shared" si="3"/>
        <v/>
      </c>
      <c r="L51" s="31" t="str">
        <f>IF($B51="","",IF(IFERROR(INDEX('RAID Log'!$1:$1048576,$B51,MATCH("Status",'RAID Log'!$1:$1,0)),"")="","",IFERROR(INDEX('RAID Log'!$1:$1048576,$B51,MATCH("Status",'RAID Log'!$1:$1,0)),"")))</f>
        <v/>
      </c>
      <c r="M51" s="31" t="str">
        <f>IF($B51="","",IF(IFERROR(INDEX('RAID Log'!$1:$1048576,$B51,MATCH("RAID Owner",'RAID Log'!$1:$1,0)),"")="","",IFERROR(INDEX('RAID Log'!$1:$1048576,$B51,MATCH("RAID Owner",'RAID Log'!$1:$1,0)),"")))</f>
        <v/>
      </c>
      <c r="N51" s="33" t="str">
        <f>IF($B51="","",IF(IFERROR(INDEX('RAID Log'!$1:$1048576,$B51,MATCH("Date Raised",'RAID Log'!$1:$1,0)),"")="","",IFERROR(INDEX('RAID Log'!$1:$1048576,$B51,MATCH("Date Raised",'RAID Log'!$1:$1,0)),"")))</f>
        <v/>
      </c>
      <c r="O51" s="33" t="str">
        <f>IF($B51="","",IF(IFERROR(INDEX('RAID Log'!$1:$1048576,$B51,MATCH("Closed Date",'RAID Log'!$1:$1,0)),"")="","",IFERROR(INDEX('RAID Log'!$1:$1048576,$B51,MATCH("Closed Date",'RAID Log'!$1:$1,0)),"")))</f>
        <v/>
      </c>
      <c r="P51" s="31" t="str">
        <f>IF($B51="","",IF(IFERROR(INDEX('RAID Log'!$1:$1048576,$B51,MATCH("Mitigation Strategy",'RAID Log'!$1:$1,0)),"")="","",IFERROR(INDEX('RAID Log'!$1:$1048576,$B51,MATCH("Mitigation Strategy",'RAID Log'!$1:$1,0)),"")))</f>
        <v/>
      </c>
      <c r="Q51" s="34" t="str">
        <f>IF($B51="","",IF(IFERROR(INDEX('RAID Log'!$1:$1048576,$B51,MATCH("RAID Response/Plan",'RAID Log'!$1:$1,0)),"")="","",IFERROR(INDEX('RAID Log'!$1:$1048576,$B51,MATCH("RAID Response/Plan",'RAID Log'!$1:$1,0)),"")))</f>
        <v/>
      </c>
    </row>
    <row r="52" spans="1:17" ht="15" customHeight="1" thickTop="1" thickBot="1" x14ac:dyDescent="0.3">
      <c r="A52" s="28" t="str">
        <f>IF($B52="","",IF(IFERROR(INDEX('RAID Log'!$1:$1048576,$B52,MATCH("RAID ID",'RAID Log'!$1:$1,0)),"")="","",IFERROR(INDEX('RAID Log'!$1:$1048576,$B52,MATCH("RAID ID",'RAID Log'!$1:$1,0)),"")))</f>
        <v/>
      </c>
      <c r="B52" s="29" t="str">
        <f>IFERROR(MATCH(ROW()-1,'RAID Log'!$S:$S,0),"")</f>
        <v/>
      </c>
      <c r="C52" s="31" t="str">
        <f>IF($B52="","",IF(IFERROR(INDEX('RAID Log'!$1:$1048576,$B52,MATCH("Description",'RAID Log'!$1:$1,0)),"")="","",IFERROR(INDEX('RAID Log'!$1:$1048576,$B52,MATCH("Description",'RAID Log'!$1:$1,0)),"")))</f>
        <v/>
      </c>
      <c r="D52" s="31" t="str">
        <f>IF($B52="","",IF(IFERROR(INDEX('RAID Log'!$1:$1048576,$B52,MATCH("Impact/Effect of the RAID",'RAID Log'!$1:$1,0)),"")="","",IFERROR(INDEX('RAID Log'!$1:$1048576,$B52,MATCH("Impact/Effect of the RAID",'RAID Log'!$1:$1,0)),"")))</f>
        <v/>
      </c>
      <c r="E52" s="31" t="str">
        <f>IF($B52="","",IF(IFERROR(INDEX('RAID Log'!$1:$1048576,$B52,MATCH("Impact Area",'RAID Log'!$1:$1,0)),"")="","",IFERROR(INDEX('RAID Log'!$1:$1048576,$B52,MATCH("Impact Area",'RAID Log'!$1:$1,0)),"")))</f>
        <v/>
      </c>
      <c r="F52" s="31" t="str">
        <f>IF($B52="","",IF(IFERROR(INDEX('RAID Log'!$1:$1048576,$B52,MATCH("Impact Area",'RAID Log'!$1:$1,0)),"")="","",IFERROR(INDEX('RAID Log'!$1:$1048576,$B52,MATCH("Impact Area",'RAID Log'!$1:$1,0)),"")))</f>
        <v/>
      </c>
      <c r="G52" s="31" t="str">
        <f>IF($B52="","",IF(IFERROR(INDEX('RAID Log'!$1:$1048576,$B52,MATCH("Impact Rating",'RAID Log'!$1:$1,0)),"")="","",IFERROR(INDEX('RAID Log'!$1:$1048576,$B52,MATCH("Impact Rating",'RAID Log'!$1:$1,0)),"")))</f>
        <v/>
      </c>
      <c r="H52" s="31" t="str">
        <f>IF($B52="","",IF(IFERROR(INDEX('RAID Log'!$1:$1048576,$B52,MATCH("Initial Probability",'RAID Log'!$1:$1,0)),"")="","",IFERROR(INDEX('RAID Log'!$1:$1048576,$B52,MATCH("Initial Probability",'RAID Log'!$1:$1,0)),"")))</f>
        <v/>
      </c>
      <c r="I52" s="32" t="str">
        <f t="shared" si="0"/>
        <v/>
      </c>
      <c r="J52" s="31" t="str">
        <f t="shared" si="1"/>
        <v/>
      </c>
      <c r="K52" s="32" t="str">
        <f t="shared" si="3"/>
        <v/>
      </c>
      <c r="L52" s="31" t="str">
        <f>IF($B52="","",IF(IFERROR(INDEX('RAID Log'!$1:$1048576,$B52,MATCH("Status",'RAID Log'!$1:$1,0)),"")="","",IFERROR(INDEX('RAID Log'!$1:$1048576,$B52,MATCH("Status",'RAID Log'!$1:$1,0)),"")))</f>
        <v/>
      </c>
      <c r="M52" s="31" t="str">
        <f>IF($B52="","",IF(IFERROR(INDEX('RAID Log'!$1:$1048576,$B52,MATCH("RAID Owner",'RAID Log'!$1:$1,0)),"")="","",IFERROR(INDEX('RAID Log'!$1:$1048576,$B52,MATCH("RAID Owner",'RAID Log'!$1:$1,0)),"")))</f>
        <v/>
      </c>
      <c r="N52" s="33" t="str">
        <f>IF($B52="","",IF(IFERROR(INDEX('RAID Log'!$1:$1048576,$B52,MATCH("Date Raised",'RAID Log'!$1:$1,0)),"")="","",IFERROR(INDEX('RAID Log'!$1:$1048576,$B52,MATCH("Date Raised",'RAID Log'!$1:$1,0)),"")))</f>
        <v/>
      </c>
      <c r="O52" s="33" t="str">
        <f>IF($B52="","",IF(IFERROR(INDEX('RAID Log'!$1:$1048576,$B52,MATCH("Closed Date",'RAID Log'!$1:$1,0)),"")="","",IFERROR(INDEX('RAID Log'!$1:$1048576,$B52,MATCH("Closed Date",'RAID Log'!$1:$1,0)),"")))</f>
        <v/>
      </c>
      <c r="P52" s="31" t="str">
        <f>IF($B52="","",IF(IFERROR(INDEX('RAID Log'!$1:$1048576,$B52,MATCH("Mitigation Strategy",'RAID Log'!$1:$1,0)),"")="","",IFERROR(INDEX('RAID Log'!$1:$1048576,$B52,MATCH("Mitigation Strategy",'RAID Log'!$1:$1,0)),"")))</f>
        <v/>
      </c>
      <c r="Q52" s="34" t="str">
        <f>IF($B52="","",IF(IFERROR(INDEX('RAID Log'!$1:$1048576,$B52,MATCH("RAID Response/Plan",'RAID Log'!$1:$1,0)),"")="","",IFERROR(INDEX('RAID Log'!$1:$1048576,$B52,MATCH("RAID Response/Plan",'RAID Log'!$1:$1,0)),"")))</f>
        <v/>
      </c>
    </row>
    <row r="53" spans="1:17" ht="14.25" customHeight="1" thickTop="1" x14ac:dyDescent="0.35"/>
  </sheetData>
  <conditionalFormatting sqref="I2:I52">
    <cfRule type="cellIs" dxfId="22" priority="2" operator="between">
      <formula>0</formula>
      <formula>6</formula>
    </cfRule>
    <cfRule type="cellIs" dxfId="21" priority="3" operator="between">
      <formula>7</formula>
      <formula>12</formula>
    </cfRule>
    <cfRule type="cellIs" dxfId="20" priority="4" operator="between">
      <formula>13</formula>
      <formula>19</formula>
    </cfRule>
    <cfRule type="cellIs" dxfId="19" priority="5" operator="between">
      <formula>20</formula>
      <formula>25</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3"/>
  <sheetViews>
    <sheetView tabSelected="1" zoomScaleNormal="100" zoomScalePageLayoutView="60" workbookViewId="0">
      <selection activeCell="B3" sqref="B3:N3"/>
    </sheetView>
  </sheetViews>
  <sheetFormatPr defaultColWidth="8.7265625" defaultRowHeight="12.75" customHeight="1" x14ac:dyDescent="0.25"/>
  <cols>
    <col min="1" max="1" width="9.26953125" customWidth="1"/>
    <col min="2" max="2" width="25.81640625" customWidth="1"/>
    <col min="3" max="3" width="32.26953125" customWidth="1"/>
    <col min="4" max="4" width="29.7265625" customWidth="1"/>
    <col min="5" max="5" width="27.26953125" customWidth="1"/>
    <col min="6" max="6" width="35.26953125" customWidth="1"/>
    <col min="7" max="7" width="11.81640625" customWidth="1"/>
    <col min="8" max="8" width="12.26953125" customWidth="1"/>
    <col min="9" max="9" width="12" customWidth="1"/>
    <col min="10" max="10" width="18.26953125" customWidth="1"/>
    <col min="11" max="11" width="16" customWidth="1"/>
    <col min="12" max="12" width="23.7265625" customWidth="1"/>
    <col min="13" max="13" width="29.26953125" customWidth="1"/>
    <col min="14" max="14" width="20.81640625" customWidth="1"/>
    <col min="15" max="15" width="13.54296875" customWidth="1"/>
  </cols>
  <sheetData>
    <row r="1" spans="1:15" ht="27" customHeight="1" x14ac:dyDescent="0.3">
      <c r="A1" s="77" t="s">
        <v>178</v>
      </c>
      <c r="B1" s="78" t="s">
        <v>179</v>
      </c>
      <c r="C1" s="88" t="s">
        <v>180</v>
      </c>
      <c r="D1" s="78" t="s">
        <v>181</v>
      </c>
      <c r="E1" s="88" t="s">
        <v>182</v>
      </c>
      <c r="F1" s="78" t="s">
        <v>183</v>
      </c>
      <c r="G1" s="78" t="s">
        <v>132</v>
      </c>
      <c r="H1" s="78" t="s">
        <v>184</v>
      </c>
      <c r="I1" s="78" t="s">
        <v>185</v>
      </c>
      <c r="J1" s="78" t="s">
        <v>186</v>
      </c>
      <c r="K1" s="78" t="s">
        <v>187</v>
      </c>
      <c r="L1" s="78" t="s">
        <v>188</v>
      </c>
      <c r="M1" s="78" t="s">
        <v>189</v>
      </c>
      <c r="N1" s="78" t="s">
        <v>190</v>
      </c>
      <c r="O1" s="79" t="s">
        <v>191</v>
      </c>
    </row>
    <row r="2" spans="1:15" ht="13.5" customHeight="1" x14ac:dyDescent="0.25">
      <c r="A2" s="75">
        <v>1</v>
      </c>
      <c r="B2" s="38" t="s">
        <v>483</v>
      </c>
      <c r="C2" s="39" t="s">
        <v>484</v>
      </c>
      <c r="D2" s="39" t="s">
        <v>485</v>
      </c>
      <c r="E2" s="39" t="s">
        <v>7</v>
      </c>
      <c r="F2" s="117" t="s">
        <v>486</v>
      </c>
      <c r="G2" s="38" t="s">
        <v>192</v>
      </c>
      <c r="H2" s="38">
        <v>5</v>
      </c>
      <c r="I2" s="38">
        <v>5</v>
      </c>
      <c r="J2" s="38" t="str">
        <f t="shared" ref="J2" si="0">IF(OR($H2="",$I2=""),"",IF(AND($H2&gt;=4,$I2&gt;=4),"Manage Closely",IF(AND($H2&lt;=3,$I2&gt;=4),"Keep Satisfied",IF(AND($H2&gt;=4,$I2&lt;=3),"Keep Informed","Monitor"))))</f>
        <v>Manage Closely</v>
      </c>
      <c r="K2" s="39"/>
      <c r="L2" s="38" t="s">
        <v>193</v>
      </c>
      <c r="M2" s="38"/>
      <c r="N2" s="38" t="s">
        <v>194</v>
      </c>
      <c r="O2" s="87"/>
    </row>
    <row r="3" spans="1:15" ht="27" customHeight="1" x14ac:dyDescent="0.25">
      <c r="A3" s="75">
        <v>2</v>
      </c>
      <c r="B3" s="38"/>
      <c r="C3" s="39"/>
      <c r="D3" s="39"/>
      <c r="E3" s="39"/>
      <c r="F3" s="117"/>
      <c r="G3" s="38"/>
      <c r="H3" s="38"/>
      <c r="I3" s="38"/>
      <c r="J3" s="38"/>
      <c r="K3" s="39"/>
      <c r="L3" s="38"/>
      <c r="M3" s="38"/>
      <c r="N3" s="38"/>
      <c r="O3" s="87"/>
    </row>
    <row r="4" spans="1:15" ht="13.5" customHeight="1" x14ac:dyDescent="0.25">
      <c r="A4" s="75">
        <v>3</v>
      </c>
      <c r="B4" s="38"/>
      <c r="C4" s="39"/>
      <c r="D4" s="39"/>
      <c r="E4" s="39"/>
      <c r="F4" s="40"/>
      <c r="G4" s="38"/>
      <c r="H4" s="38"/>
      <c r="I4" s="38"/>
      <c r="J4" s="38"/>
      <c r="K4" s="39"/>
      <c r="L4" s="38"/>
      <c r="M4" s="38"/>
      <c r="N4" s="38"/>
      <c r="O4" s="87"/>
    </row>
    <row r="5" spans="1:15" ht="13.5" customHeight="1" x14ac:dyDescent="0.25">
      <c r="A5" s="75">
        <v>4</v>
      </c>
      <c r="B5" s="38"/>
      <c r="C5" s="39"/>
      <c r="D5" s="39"/>
      <c r="E5" s="39"/>
      <c r="F5" s="40"/>
      <c r="G5" s="38"/>
      <c r="H5" s="38"/>
      <c r="I5" s="38"/>
      <c r="J5" s="38"/>
      <c r="K5" s="39"/>
      <c r="L5" s="38"/>
      <c r="M5" s="38"/>
      <c r="N5" s="38"/>
      <c r="O5" s="87"/>
    </row>
    <row r="6" spans="1:15" ht="13.5" customHeight="1" x14ac:dyDescent="0.25">
      <c r="A6" s="75">
        <v>5</v>
      </c>
      <c r="B6" s="38"/>
      <c r="C6" s="39"/>
      <c r="D6" s="39"/>
      <c r="E6" s="39"/>
      <c r="F6" s="40"/>
      <c r="G6" s="38"/>
      <c r="H6" s="38"/>
      <c r="I6" s="38"/>
      <c r="J6" s="38"/>
      <c r="K6" s="38"/>
      <c r="L6" s="38"/>
      <c r="M6" s="38"/>
      <c r="N6" s="38"/>
      <c r="O6" s="87"/>
    </row>
    <row r="7" spans="1:15" ht="27" customHeight="1" x14ac:dyDescent="0.25">
      <c r="A7" s="75">
        <v>6</v>
      </c>
      <c r="B7" s="38"/>
      <c r="C7" s="39"/>
      <c r="D7" s="39"/>
      <c r="E7" s="39"/>
      <c r="F7" s="40"/>
      <c r="G7" s="38"/>
      <c r="H7" s="38"/>
      <c r="I7" s="38"/>
      <c r="J7" s="38"/>
      <c r="K7" s="39"/>
      <c r="L7" s="38"/>
      <c r="M7" s="38"/>
      <c r="N7" s="38"/>
      <c r="O7" s="87"/>
    </row>
    <row r="8" spans="1:15" ht="27" customHeight="1" x14ac:dyDescent="0.25">
      <c r="A8" s="75">
        <v>7</v>
      </c>
      <c r="B8" s="38"/>
      <c r="C8" s="39"/>
      <c r="D8" s="39"/>
      <c r="E8" s="39"/>
      <c r="F8" s="40"/>
      <c r="G8" s="38"/>
      <c r="H8" s="38"/>
      <c r="I8" s="38"/>
      <c r="J8" s="38"/>
      <c r="K8" s="39"/>
      <c r="L8" s="38"/>
      <c r="M8" s="38"/>
      <c r="N8" s="38"/>
      <c r="O8" s="87"/>
    </row>
    <row r="9" spans="1:15" ht="13.5" customHeight="1" x14ac:dyDescent="0.25">
      <c r="A9" s="75">
        <v>8</v>
      </c>
      <c r="B9" s="38"/>
      <c r="C9" s="39"/>
      <c r="D9" s="39"/>
      <c r="E9" s="39"/>
      <c r="F9" s="40"/>
      <c r="G9" s="38"/>
      <c r="H9" s="38"/>
      <c r="I9" s="38"/>
      <c r="J9" s="38"/>
      <c r="K9" s="38"/>
      <c r="L9" s="38"/>
      <c r="M9" s="38"/>
      <c r="N9" s="38"/>
      <c r="O9" s="87"/>
    </row>
    <row r="10" spans="1:15" ht="13.5" customHeight="1" x14ac:dyDescent="0.25">
      <c r="A10" s="75">
        <v>9</v>
      </c>
      <c r="B10" s="38"/>
      <c r="C10" s="39"/>
      <c r="D10" s="39"/>
      <c r="E10" s="39"/>
      <c r="F10" s="40"/>
      <c r="G10" s="38"/>
      <c r="H10" s="38"/>
      <c r="I10" s="38"/>
      <c r="J10" s="38"/>
      <c r="K10" s="38"/>
      <c r="L10" s="38"/>
      <c r="M10" s="38"/>
      <c r="N10" s="38"/>
      <c r="O10" s="87"/>
    </row>
    <row r="11" spans="1:15" ht="13.5" customHeight="1" x14ac:dyDescent="0.25">
      <c r="A11" s="75">
        <v>10</v>
      </c>
      <c r="B11" s="38"/>
      <c r="C11" s="39"/>
      <c r="D11" s="39"/>
      <c r="E11" s="39"/>
      <c r="F11" s="40"/>
      <c r="G11" s="38"/>
      <c r="H11" s="38"/>
      <c r="I11" s="38"/>
      <c r="J11" s="38"/>
      <c r="K11" s="38"/>
      <c r="L11" s="38"/>
      <c r="M11" s="38"/>
      <c r="N11" s="38"/>
      <c r="O11" s="87"/>
    </row>
    <row r="12" spans="1:15" ht="13.5" customHeight="1" x14ac:dyDescent="0.25">
      <c r="A12" s="75">
        <v>11</v>
      </c>
      <c r="B12" s="38"/>
      <c r="C12" s="39"/>
      <c r="D12" s="39"/>
      <c r="E12" s="39"/>
      <c r="F12" s="41"/>
      <c r="G12" s="38"/>
      <c r="H12" s="38"/>
      <c r="I12" s="38"/>
      <c r="J12" s="38"/>
      <c r="K12" s="38"/>
      <c r="L12" s="38"/>
      <c r="M12" s="38"/>
      <c r="N12" s="38"/>
      <c r="O12" s="87"/>
    </row>
    <row r="13" spans="1:15" ht="13.5" customHeight="1" x14ac:dyDescent="0.25">
      <c r="A13" s="80">
        <v>12</v>
      </c>
      <c r="B13" s="89"/>
      <c r="C13" s="90"/>
      <c r="D13" s="90"/>
      <c r="E13" s="90"/>
      <c r="F13" s="91"/>
      <c r="G13" s="89"/>
      <c r="H13" s="89"/>
      <c r="I13" s="89"/>
      <c r="J13" s="89"/>
      <c r="K13" s="89"/>
      <c r="L13" s="89"/>
      <c r="M13" s="89"/>
      <c r="N13" s="89"/>
      <c r="O13" s="92"/>
    </row>
  </sheetData>
  <conditionalFormatting sqref="H2:H4">
    <cfRule type="iconSet" priority="6">
      <iconSet>
        <cfvo type="percent" val="0"/>
        <cfvo type="percent" val="33"/>
        <cfvo type="percent" val="67"/>
      </iconSet>
    </cfRule>
  </conditionalFormatting>
  <conditionalFormatting sqref="H6:H8 H10:H12">
    <cfRule type="iconSet" priority="4">
      <iconSet>
        <cfvo type="percent" val="0"/>
        <cfvo type="percent" val="33"/>
        <cfvo type="percent" val="67"/>
      </iconSet>
    </cfRule>
  </conditionalFormatting>
  <conditionalFormatting sqref="H9 H13">
    <cfRule type="iconSet" priority="3">
      <iconSet>
        <cfvo type="percent" val="0"/>
        <cfvo type="percent" val="33"/>
        <cfvo type="percent" val="67"/>
      </iconSet>
    </cfRule>
  </conditionalFormatting>
  <conditionalFormatting sqref="H5:I5 I9 I13">
    <cfRule type="iconSet" priority="5">
      <iconSet>
        <cfvo type="percent" val="0"/>
        <cfvo type="percent" val="33"/>
        <cfvo type="percent" val="67"/>
      </iconSet>
    </cfRule>
  </conditionalFormatting>
  <conditionalFormatting sqref="H2:J13">
    <cfRule type="cellIs" dxfId="18" priority="7" operator="equal">
      <formula>"Low"</formula>
    </cfRule>
    <cfRule type="cellIs" dxfId="17" priority="8" operator="equal">
      <formula>"Medium"</formula>
    </cfRule>
    <cfRule type="cellIs" dxfId="16" priority="9" operator="equal">
      <formula>"High"</formula>
    </cfRule>
  </conditionalFormatting>
  <conditionalFormatting sqref="I2:I4 I6:I8 I10:I12">
    <cfRule type="iconSet" priority="2">
      <iconSet>
        <cfvo type="percent" val="0"/>
        <cfvo type="percent" val="33"/>
        <cfvo type="percent" val="67"/>
      </iconSet>
    </cfRule>
  </conditionalFormatting>
  <dataValidations count="2">
    <dataValidation type="list" operator="equal" allowBlank="1" showInputMessage="1" showErrorMessage="1" sqref="G2:G8" xr:uid="{00000000-0002-0000-0700-000000000000}">
      <formula1>"Internal,External"</formula1>
      <formula2>0</formula2>
    </dataValidation>
    <dataValidation type="list" operator="equal" allowBlank="1" showInputMessage="1" showErrorMessage="1" sqref="H2:I13" xr:uid="{00000000-0002-0000-0700-000001000000}">
      <formula1>"1,2,3,4,5"</formula1>
      <formula2>0</formula2>
    </dataValidation>
  </dataValidations>
  <hyperlinks>
    <hyperlink ref="F2" r:id="rId1" xr:uid="{00000000-0004-0000-0700-000000000000}"/>
  </hyperlinks>
  <pageMargins left="0.7" right="0.7" top="0.75" bottom="0.75" header="0.511811023622047" footer="0.511811023622047"/>
  <pageSetup paperSize="9" orientation="portrait" horizontalDpi="300" verticalDpi="30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9"/>
  <sheetViews>
    <sheetView zoomScaleNormal="100" zoomScalePageLayoutView="60" workbookViewId="0"/>
  </sheetViews>
  <sheetFormatPr defaultColWidth="8.7265625" defaultRowHeight="12.75" customHeight="1" x14ac:dyDescent="0.25"/>
  <sheetData>
    <row r="1" spans="1:16" ht="12.75" customHeight="1" x14ac:dyDescent="0.25">
      <c r="A1" t="s">
        <v>199</v>
      </c>
      <c r="B1" t="s">
        <v>200</v>
      </c>
      <c r="C1" t="s">
        <v>201</v>
      </c>
      <c r="D1" t="s">
        <v>202</v>
      </c>
      <c r="E1" t="s">
        <v>203</v>
      </c>
      <c r="F1" t="s">
        <v>204</v>
      </c>
      <c r="G1" t="s">
        <v>205</v>
      </c>
      <c r="H1" t="s">
        <v>206</v>
      </c>
      <c r="I1" t="s">
        <v>207</v>
      </c>
      <c r="J1" t="s">
        <v>208</v>
      </c>
      <c r="K1" t="s">
        <v>209</v>
      </c>
      <c r="L1" t="s">
        <v>210</v>
      </c>
      <c r="M1" t="s">
        <v>211</v>
      </c>
      <c r="N1" t="s">
        <v>212</v>
      </c>
      <c r="O1" t="s">
        <v>213</v>
      </c>
      <c r="P1" t="s">
        <v>214</v>
      </c>
    </row>
    <row r="2" spans="1:16" ht="12.75" customHeight="1" x14ac:dyDescent="0.25">
      <c r="A2" t="s">
        <v>215</v>
      </c>
      <c r="B2" t="s">
        <v>194</v>
      </c>
      <c r="C2" t="s">
        <v>216</v>
      </c>
      <c r="D2" t="s">
        <v>217</v>
      </c>
      <c r="E2" t="s">
        <v>158</v>
      </c>
      <c r="F2" t="s">
        <v>158</v>
      </c>
      <c r="G2" t="s">
        <v>218</v>
      </c>
      <c r="H2" t="s">
        <v>219</v>
      </c>
      <c r="I2" t="s">
        <v>220</v>
      </c>
      <c r="J2" t="s">
        <v>14</v>
      </c>
      <c r="K2" t="s">
        <v>216</v>
      </c>
      <c r="L2" t="s">
        <v>221</v>
      </c>
      <c r="M2" t="s">
        <v>111</v>
      </c>
      <c r="N2" t="s">
        <v>222</v>
      </c>
      <c r="O2" t="s">
        <v>223</v>
      </c>
      <c r="P2" t="s">
        <v>90</v>
      </c>
    </row>
    <row r="3" spans="1:16" ht="12.75" customHeight="1" x14ac:dyDescent="0.25">
      <c r="A3" t="s">
        <v>224</v>
      </c>
      <c r="B3" t="s">
        <v>225</v>
      </c>
      <c r="C3" t="s">
        <v>226</v>
      </c>
      <c r="D3" t="s">
        <v>227</v>
      </c>
      <c r="E3" t="s">
        <v>14</v>
      </c>
      <c r="F3" t="s">
        <v>14</v>
      </c>
      <c r="G3" t="s">
        <v>228</v>
      </c>
      <c r="H3" t="s">
        <v>229</v>
      </c>
      <c r="I3" t="s">
        <v>230</v>
      </c>
      <c r="J3" t="s">
        <v>160</v>
      </c>
      <c r="K3" t="s">
        <v>229</v>
      </c>
      <c r="L3" t="s">
        <v>231</v>
      </c>
      <c r="M3" t="s">
        <v>25</v>
      </c>
      <c r="N3" t="s">
        <v>232</v>
      </c>
      <c r="O3" t="s">
        <v>233</v>
      </c>
      <c r="P3" t="s">
        <v>98</v>
      </c>
    </row>
    <row r="4" spans="1:16" ht="12.75" customHeight="1" x14ac:dyDescent="0.25">
      <c r="A4" t="s">
        <v>234</v>
      </c>
      <c r="B4" t="s">
        <v>235</v>
      </c>
      <c r="C4" t="s">
        <v>126</v>
      </c>
      <c r="D4" t="s">
        <v>226</v>
      </c>
      <c r="E4" t="s">
        <v>160</v>
      </c>
      <c r="F4" t="s">
        <v>160</v>
      </c>
      <c r="G4" t="s">
        <v>229</v>
      </c>
      <c r="H4" t="s">
        <v>236</v>
      </c>
      <c r="I4" t="s">
        <v>237</v>
      </c>
      <c r="J4" t="s">
        <v>152</v>
      </c>
      <c r="K4" t="s">
        <v>20</v>
      </c>
      <c r="L4" t="s">
        <v>238</v>
      </c>
      <c r="M4" t="s">
        <v>126</v>
      </c>
      <c r="N4" t="s">
        <v>239</v>
      </c>
      <c r="P4" t="s">
        <v>112</v>
      </c>
    </row>
    <row r="5" spans="1:16" ht="12.75" customHeight="1" x14ac:dyDescent="0.25">
      <c r="A5" t="s">
        <v>240</v>
      </c>
      <c r="B5" t="s">
        <v>196</v>
      </c>
      <c r="C5" t="s">
        <v>241</v>
      </c>
      <c r="D5" t="s">
        <v>242</v>
      </c>
      <c r="E5" t="s">
        <v>152</v>
      </c>
      <c r="F5" t="s">
        <v>152</v>
      </c>
      <c r="G5" t="s">
        <v>236</v>
      </c>
      <c r="H5" t="s">
        <v>243</v>
      </c>
      <c r="I5" t="s">
        <v>244</v>
      </c>
      <c r="K5" t="s">
        <v>245</v>
      </c>
      <c r="L5" t="s">
        <v>206</v>
      </c>
      <c r="M5" t="s">
        <v>20</v>
      </c>
      <c r="P5" t="s">
        <v>246</v>
      </c>
    </row>
    <row r="6" spans="1:16" ht="12.75" customHeight="1" x14ac:dyDescent="0.25">
      <c r="A6" t="s">
        <v>247</v>
      </c>
      <c r="B6" t="s">
        <v>248</v>
      </c>
      <c r="D6" t="s">
        <v>249</v>
      </c>
      <c r="G6" t="s">
        <v>250</v>
      </c>
      <c r="I6" t="s">
        <v>251</v>
      </c>
      <c r="L6" t="s">
        <v>124</v>
      </c>
      <c r="M6" t="s">
        <v>252</v>
      </c>
      <c r="P6" t="s">
        <v>253</v>
      </c>
    </row>
    <row r="7" spans="1:16" ht="12.75" customHeight="1" x14ac:dyDescent="0.25">
      <c r="B7" t="s">
        <v>254</v>
      </c>
      <c r="G7" t="s">
        <v>241</v>
      </c>
      <c r="I7" t="s">
        <v>167</v>
      </c>
      <c r="M7" t="s">
        <v>245</v>
      </c>
      <c r="P7" t="s">
        <v>255</v>
      </c>
    </row>
    <row r="8" spans="1:16" ht="12.75" customHeight="1" x14ac:dyDescent="0.25">
      <c r="B8" t="s">
        <v>256</v>
      </c>
      <c r="G8" t="s">
        <v>243</v>
      </c>
      <c r="P8" t="s">
        <v>257</v>
      </c>
    </row>
    <row r="9" spans="1:16" ht="12.75" customHeight="1" x14ac:dyDescent="0.25">
      <c r="P9" t="s">
        <v>118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1"/>
  <sheetViews>
    <sheetView zoomScaleNormal="100" zoomScalePageLayoutView="60" workbookViewId="0">
      <selection activeCell="B5" sqref="B5:M8"/>
    </sheetView>
  </sheetViews>
  <sheetFormatPr defaultColWidth="8.7265625" defaultRowHeight="12.75" customHeight="1" x14ac:dyDescent="0.25"/>
  <cols>
    <col min="1" max="1" width="14" customWidth="1"/>
    <col min="2" max="2" width="44" bestFit="1" customWidth="1"/>
    <col min="3" max="3" width="18" customWidth="1"/>
    <col min="4" max="4" width="28" customWidth="1"/>
    <col min="5" max="5" width="14" customWidth="1"/>
    <col min="6" max="6" width="29.81640625" bestFit="1" customWidth="1"/>
    <col min="7" max="7" width="28" customWidth="1"/>
    <col min="8" max="8" width="24" customWidth="1"/>
    <col min="9" max="10" width="14" customWidth="1"/>
    <col min="11" max="11" width="15.26953125" customWidth="1"/>
    <col min="12" max="12" width="23.26953125" customWidth="1"/>
    <col min="13" max="13" width="24" customWidth="1"/>
  </cols>
  <sheetData>
    <row r="1" spans="1:13" ht="24" customHeight="1" x14ac:dyDescent="0.3">
      <c r="A1" s="77" t="s">
        <v>258</v>
      </c>
      <c r="B1" s="78" t="s">
        <v>259</v>
      </c>
      <c r="C1" s="78" t="s">
        <v>260</v>
      </c>
      <c r="D1" s="78" t="s">
        <v>261</v>
      </c>
      <c r="E1" s="78" t="s">
        <v>200</v>
      </c>
      <c r="F1" s="78" t="s">
        <v>75</v>
      </c>
      <c r="G1" s="78" t="s">
        <v>262</v>
      </c>
      <c r="H1" s="78" t="s">
        <v>263</v>
      </c>
      <c r="I1" s="78" t="s">
        <v>264</v>
      </c>
      <c r="J1" s="78" t="s">
        <v>81</v>
      </c>
      <c r="K1" s="78" t="s">
        <v>265</v>
      </c>
      <c r="L1" s="78" t="s">
        <v>266</v>
      </c>
      <c r="M1" s="79" t="s">
        <v>129</v>
      </c>
    </row>
    <row r="2" spans="1:13" ht="13.5" customHeight="1" x14ac:dyDescent="0.25">
      <c r="A2" s="75" t="str">
        <f t="shared" ref="A2:A11" si="0">IF(COUNTA($B2:$M2)=0,"","CAD-"&amp;TEXT(ROW()-1,"000"))</f>
        <v>CAD-001</v>
      </c>
      <c r="B2" s="42" t="s">
        <v>267</v>
      </c>
      <c r="C2" s="42" t="s">
        <v>224</v>
      </c>
      <c r="D2" s="42" t="s">
        <v>268</v>
      </c>
      <c r="E2" s="42" t="s">
        <v>194</v>
      </c>
      <c r="F2" s="42" t="s">
        <v>269</v>
      </c>
      <c r="G2" s="42" t="s">
        <v>270</v>
      </c>
      <c r="H2" s="42" t="s">
        <v>270</v>
      </c>
      <c r="I2" s="42" t="s">
        <v>271</v>
      </c>
      <c r="J2" s="42" t="s">
        <v>226</v>
      </c>
      <c r="K2" s="43" t="s">
        <v>270</v>
      </c>
      <c r="L2" s="43" t="s">
        <v>270</v>
      </c>
      <c r="M2" s="85"/>
    </row>
    <row r="3" spans="1:13" ht="13.5" customHeight="1" x14ac:dyDescent="0.25">
      <c r="A3" s="75" t="str">
        <f t="shared" si="0"/>
        <v>CAD-002</v>
      </c>
      <c r="B3" s="42" t="s">
        <v>272</v>
      </c>
      <c r="C3" s="42" t="s">
        <v>234</v>
      </c>
      <c r="D3" s="42" t="s">
        <v>273</v>
      </c>
      <c r="E3" s="42" t="s">
        <v>225</v>
      </c>
      <c r="F3" s="42" t="s">
        <v>198</v>
      </c>
      <c r="G3" s="42" t="s">
        <v>270</v>
      </c>
      <c r="H3" s="42" t="s">
        <v>270</v>
      </c>
      <c r="I3" s="42" t="s">
        <v>270</v>
      </c>
      <c r="J3" s="42" t="s">
        <v>226</v>
      </c>
      <c r="K3" s="43" t="s">
        <v>270</v>
      </c>
      <c r="L3" s="43" t="s">
        <v>270</v>
      </c>
      <c r="M3" s="85"/>
    </row>
    <row r="4" spans="1:13" ht="13.5" customHeight="1" x14ac:dyDescent="0.25">
      <c r="A4" s="75" t="str">
        <f t="shared" si="0"/>
        <v>CAD-003</v>
      </c>
      <c r="B4" s="42" t="s">
        <v>438</v>
      </c>
      <c r="C4" s="42" t="s">
        <v>240</v>
      </c>
      <c r="D4" s="42" t="s">
        <v>274</v>
      </c>
      <c r="E4" s="42" t="s">
        <v>225</v>
      </c>
      <c r="F4" s="42" t="s">
        <v>165</v>
      </c>
      <c r="G4" s="42" t="s">
        <v>270</v>
      </c>
      <c r="H4" s="42" t="s">
        <v>270</v>
      </c>
      <c r="I4" s="42" t="s">
        <v>275</v>
      </c>
      <c r="J4" s="42" t="s">
        <v>226</v>
      </c>
      <c r="K4" s="43" t="s">
        <v>270</v>
      </c>
      <c r="L4" s="43" t="s">
        <v>270</v>
      </c>
      <c r="M4" s="85"/>
    </row>
    <row r="5" spans="1:13" ht="13.5" customHeight="1" x14ac:dyDescent="0.25">
      <c r="A5" s="75" t="str">
        <f t="shared" si="0"/>
        <v/>
      </c>
      <c r="B5" s="42"/>
      <c r="C5" s="42"/>
      <c r="D5" s="42"/>
      <c r="E5" s="42"/>
      <c r="F5" s="42"/>
      <c r="G5" s="42"/>
      <c r="H5" s="42"/>
      <c r="I5" s="42"/>
      <c r="J5" s="42"/>
      <c r="K5" s="43"/>
      <c r="L5" s="43"/>
      <c r="M5" s="85"/>
    </row>
    <row r="6" spans="1:13" ht="13.5" customHeight="1" x14ac:dyDescent="0.25">
      <c r="A6" s="75" t="str">
        <f t="shared" si="0"/>
        <v/>
      </c>
      <c r="B6" s="42"/>
      <c r="C6" s="42"/>
      <c r="D6" s="42"/>
      <c r="E6" s="42"/>
      <c r="F6" s="42"/>
      <c r="G6" s="42"/>
      <c r="H6" s="42"/>
      <c r="I6" s="42"/>
      <c r="J6" s="42"/>
      <c r="K6" s="43"/>
      <c r="L6" s="43"/>
      <c r="M6" s="85"/>
    </row>
    <row r="7" spans="1:13" ht="13.5" customHeight="1" x14ac:dyDescent="0.25">
      <c r="A7" s="75" t="str">
        <f t="shared" si="0"/>
        <v/>
      </c>
      <c r="B7" s="42"/>
      <c r="C7" s="42"/>
      <c r="D7" s="42"/>
      <c r="E7" s="42"/>
      <c r="F7" s="42"/>
      <c r="G7" s="42"/>
      <c r="H7" s="42"/>
      <c r="I7" s="42"/>
      <c r="J7" s="42"/>
      <c r="K7" s="43"/>
      <c r="L7" s="43"/>
      <c r="M7" s="85"/>
    </row>
    <row r="8" spans="1:13" ht="13.5" customHeight="1" x14ac:dyDescent="0.25">
      <c r="A8" s="75" t="str">
        <f t="shared" si="0"/>
        <v/>
      </c>
      <c r="B8" s="42"/>
      <c r="C8" s="42"/>
      <c r="D8" s="42"/>
      <c r="E8" s="42"/>
      <c r="F8" s="42"/>
      <c r="G8" s="42"/>
      <c r="H8" s="42"/>
      <c r="I8" s="42"/>
      <c r="J8" s="42"/>
      <c r="K8" s="43"/>
      <c r="L8" s="43"/>
      <c r="M8" s="85"/>
    </row>
    <row r="9" spans="1:13" ht="13.5" customHeight="1" x14ac:dyDescent="0.25">
      <c r="A9" s="75" t="str">
        <f t="shared" si="0"/>
        <v/>
      </c>
      <c r="B9" s="42"/>
      <c r="C9" s="42"/>
      <c r="D9" s="42"/>
      <c r="E9" s="42"/>
      <c r="F9" s="42"/>
      <c r="G9" s="42"/>
      <c r="H9" s="42"/>
      <c r="I9" s="42"/>
      <c r="J9" s="42"/>
      <c r="K9" s="43"/>
      <c r="L9" s="43"/>
      <c r="M9" s="85"/>
    </row>
    <row r="10" spans="1:13" ht="13.5" customHeight="1" x14ac:dyDescent="0.25">
      <c r="A10" s="75" t="str">
        <f t="shared" si="0"/>
        <v/>
      </c>
      <c r="B10" s="42"/>
      <c r="C10" s="42"/>
      <c r="D10" s="42"/>
      <c r="E10" s="42"/>
      <c r="F10" s="42"/>
      <c r="G10" s="42"/>
      <c r="H10" s="42"/>
      <c r="I10" s="42"/>
      <c r="J10" s="42"/>
      <c r="K10" s="43"/>
      <c r="L10" s="43"/>
      <c r="M10" s="85"/>
    </row>
    <row r="11" spans="1:13" ht="13.5" customHeight="1" x14ac:dyDescent="0.25">
      <c r="A11" s="80" t="str">
        <f t="shared" si="0"/>
        <v/>
      </c>
      <c r="B11" s="81"/>
      <c r="C11" s="81"/>
      <c r="D11" s="81"/>
      <c r="E11" s="81"/>
      <c r="F11" s="81"/>
      <c r="G11" s="81"/>
      <c r="H11" s="81"/>
      <c r="I11" s="81"/>
      <c r="J11" s="81"/>
      <c r="K11" s="83"/>
      <c r="L11" s="83"/>
      <c r="M11" s="86"/>
    </row>
  </sheetData>
  <dataValidations count="3">
    <dataValidation type="list" operator="equal" allowBlank="1" sqref="C2:C11" xr:uid="{00000000-0002-0000-0900-000000000000}">
      <formula1>CadenceType</formula1>
      <formula2>0</formula2>
    </dataValidation>
    <dataValidation type="list" operator="equal" allowBlank="1" sqref="E2:E11" xr:uid="{00000000-0002-0000-0900-000001000000}">
      <formula1>Frequency</formula1>
      <formula2>0</formula2>
    </dataValidation>
    <dataValidation type="list" operator="equal" allowBlank="1" sqref="J2:J11" xr:uid="{00000000-0002-0000-0900-000002000000}">
      <formula1>GenericStatus</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4"/>
  <sheetViews>
    <sheetView workbookViewId="0">
      <selection activeCell="H1" sqref="H1"/>
    </sheetView>
  </sheetViews>
  <sheetFormatPr defaultRowHeight="12.5" x14ac:dyDescent="0.25"/>
  <cols>
    <col min="1" max="1" width="17.7265625" customWidth="1"/>
    <col min="2" max="2" width="26.26953125" customWidth="1"/>
    <col min="3" max="3" width="43.81640625" customWidth="1"/>
  </cols>
  <sheetData>
    <row r="1" spans="1:23" ht="149.5" customHeight="1" thickTop="1" x14ac:dyDescent="0.25">
      <c r="A1" s="50" t="s">
        <v>276</v>
      </c>
      <c r="B1" s="51"/>
      <c r="C1" s="52"/>
      <c r="D1" s="53"/>
      <c r="E1" s="53"/>
      <c r="F1" s="53"/>
      <c r="G1" s="53"/>
      <c r="H1" s="53"/>
      <c r="I1" s="54"/>
      <c r="J1" s="54"/>
      <c r="K1" s="54"/>
      <c r="L1" s="54"/>
      <c r="M1" s="53"/>
      <c r="N1" s="53"/>
      <c r="O1" s="53"/>
      <c r="P1" s="53"/>
      <c r="Q1" s="54"/>
      <c r="R1" s="54"/>
      <c r="S1" s="54"/>
      <c r="T1" s="54"/>
      <c r="U1" s="54"/>
      <c r="V1" s="53"/>
      <c r="W1" s="53"/>
    </row>
    <row r="2" spans="1:23" ht="15.5" x14ac:dyDescent="0.25">
      <c r="A2" s="55" t="s">
        <v>279</v>
      </c>
      <c r="B2" s="55" t="s">
        <v>280</v>
      </c>
      <c r="C2" s="55" t="s">
        <v>281</v>
      </c>
      <c r="D2" s="213" t="s">
        <v>282</v>
      </c>
      <c r="E2" s="214"/>
      <c r="F2" s="214"/>
      <c r="G2" s="214"/>
      <c r="H2" s="215"/>
      <c r="I2" s="213" t="s">
        <v>283</v>
      </c>
      <c r="J2" s="214"/>
      <c r="K2" s="214"/>
      <c r="L2" s="214"/>
      <c r="M2" s="213" t="s">
        <v>284</v>
      </c>
      <c r="N2" s="214"/>
      <c r="O2" s="214"/>
      <c r="P2" s="214"/>
      <c r="Q2" s="213" t="s">
        <v>125</v>
      </c>
      <c r="R2" s="214"/>
      <c r="S2" s="214"/>
      <c r="T2" s="214"/>
      <c r="U2" s="214"/>
      <c r="V2" s="213" t="s">
        <v>285</v>
      </c>
      <c r="W2" s="214"/>
    </row>
    <row r="3" spans="1:23" ht="17.5" customHeight="1" x14ac:dyDescent="0.25">
      <c r="A3" s="56"/>
      <c r="B3" s="57"/>
      <c r="C3" s="57" t="s">
        <v>286</v>
      </c>
      <c r="D3" s="58"/>
      <c r="E3" s="58"/>
      <c r="F3" s="58"/>
      <c r="G3" s="58"/>
      <c r="H3" s="58"/>
      <c r="I3" s="58"/>
      <c r="J3" s="58"/>
      <c r="K3" s="58"/>
      <c r="L3" s="58"/>
      <c r="M3" s="58"/>
      <c r="N3" s="58"/>
      <c r="O3" s="58"/>
      <c r="P3" s="58"/>
      <c r="Q3" s="58"/>
      <c r="R3" s="58"/>
      <c r="S3" s="58"/>
      <c r="T3" s="58"/>
      <c r="U3" s="58"/>
      <c r="V3" s="58"/>
      <c r="W3" s="58"/>
    </row>
    <row r="4" spans="1:23" ht="17.5" customHeight="1" x14ac:dyDescent="0.25">
      <c r="A4" s="59" t="s">
        <v>152</v>
      </c>
      <c r="B4" s="59" t="s">
        <v>25</v>
      </c>
      <c r="C4" s="59"/>
      <c r="D4" s="60"/>
      <c r="E4" s="60"/>
      <c r="F4" s="60"/>
      <c r="G4" s="60"/>
      <c r="H4" s="60"/>
      <c r="I4" s="61"/>
      <c r="J4" s="61"/>
      <c r="K4" s="61"/>
      <c r="L4" s="61"/>
      <c r="M4" s="60"/>
      <c r="N4" s="60"/>
      <c r="O4" s="60"/>
      <c r="P4" s="60"/>
      <c r="Q4" s="61"/>
      <c r="R4" s="61"/>
      <c r="S4" s="61"/>
      <c r="T4" s="61"/>
      <c r="U4" s="61"/>
      <c r="V4" s="60"/>
      <c r="W4" s="60"/>
    </row>
    <row r="5" spans="1:23" ht="17.5" x14ac:dyDescent="0.25">
      <c r="A5" s="59" t="s">
        <v>160</v>
      </c>
      <c r="B5" s="59" t="s">
        <v>291</v>
      </c>
      <c r="C5" s="59"/>
      <c r="D5" s="60"/>
      <c r="E5" s="60"/>
      <c r="F5" s="60"/>
      <c r="G5" s="60"/>
      <c r="H5" s="60"/>
      <c r="I5" s="61"/>
      <c r="J5" s="61"/>
      <c r="K5" s="61"/>
      <c r="L5" s="61"/>
      <c r="M5" s="60"/>
      <c r="N5" s="60"/>
      <c r="O5" s="60"/>
      <c r="P5" s="60"/>
      <c r="Q5" s="61"/>
      <c r="R5" s="61"/>
      <c r="S5" s="61"/>
      <c r="T5" s="61"/>
      <c r="U5" s="61"/>
      <c r="V5" s="60"/>
      <c r="W5" s="60"/>
    </row>
    <row r="6" spans="1:23" ht="17.5" customHeight="1" x14ac:dyDescent="0.25">
      <c r="A6" s="59"/>
      <c r="B6" s="59"/>
      <c r="C6" s="59"/>
      <c r="D6" s="60"/>
      <c r="E6" s="60"/>
      <c r="F6" s="60"/>
      <c r="G6" s="60"/>
      <c r="H6" s="60"/>
      <c r="I6" s="61"/>
      <c r="J6" s="61"/>
      <c r="K6" s="61"/>
      <c r="L6" s="61"/>
      <c r="M6" s="60"/>
      <c r="N6" s="60"/>
      <c r="O6" s="60"/>
      <c r="P6" s="60"/>
      <c r="Q6" s="61"/>
      <c r="R6" s="61"/>
      <c r="S6" s="61"/>
      <c r="T6" s="61"/>
      <c r="U6" s="61"/>
      <c r="V6" s="60"/>
      <c r="W6" s="60"/>
    </row>
    <row r="7" spans="1:23" ht="17.5" customHeight="1" x14ac:dyDescent="0.25">
      <c r="A7" s="59"/>
      <c r="B7" s="59"/>
      <c r="C7" s="62"/>
      <c r="D7" s="60"/>
      <c r="E7" s="60"/>
      <c r="F7" s="60"/>
      <c r="G7" s="60"/>
      <c r="H7" s="60"/>
      <c r="I7" s="61"/>
      <c r="J7" s="61"/>
      <c r="K7" s="61"/>
      <c r="L7" s="61"/>
      <c r="M7" s="60"/>
      <c r="N7" s="60"/>
      <c r="O7" s="60"/>
      <c r="P7" s="60"/>
      <c r="Q7" s="61"/>
      <c r="R7" s="61"/>
      <c r="S7" s="61"/>
      <c r="T7" s="61"/>
      <c r="U7" s="61"/>
      <c r="V7" s="60"/>
      <c r="W7" s="60"/>
    </row>
    <row r="8" spans="1:23" ht="17.5" customHeight="1" x14ac:dyDescent="0.25">
      <c r="A8" s="59"/>
      <c r="B8" s="59"/>
      <c r="C8" s="62"/>
      <c r="D8" s="60"/>
      <c r="E8" s="60"/>
      <c r="F8" s="60"/>
      <c r="G8" s="60"/>
      <c r="H8" s="60"/>
      <c r="I8" s="61"/>
      <c r="J8" s="61"/>
      <c r="K8" s="61"/>
      <c r="L8" s="61"/>
      <c r="M8" s="60"/>
      <c r="N8" s="60"/>
      <c r="O8" s="60"/>
      <c r="P8" s="60"/>
      <c r="Q8" s="61"/>
      <c r="R8" s="61"/>
      <c r="S8" s="61"/>
      <c r="T8" s="61"/>
      <c r="U8" s="61"/>
      <c r="V8" s="60"/>
      <c r="W8" s="60"/>
    </row>
    <row r="9" spans="1:23" ht="17.5" customHeight="1" x14ac:dyDescent="0.25">
      <c r="A9" s="59"/>
      <c r="B9" s="59"/>
      <c r="C9" s="62"/>
      <c r="D9" s="60"/>
      <c r="E9" s="60"/>
      <c r="F9" s="60"/>
      <c r="G9" s="60"/>
      <c r="H9" s="60"/>
      <c r="I9" s="61"/>
      <c r="J9" s="61"/>
      <c r="K9" s="61"/>
      <c r="L9" s="61"/>
      <c r="M9" s="60"/>
      <c r="N9" s="60"/>
      <c r="O9" s="60"/>
      <c r="P9" s="60"/>
      <c r="Q9" s="61"/>
      <c r="R9" s="61"/>
      <c r="S9" s="61"/>
      <c r="T9" s="61"/>
      <c r="U9" s="61"/>
      <c r="V9" s="60"/>
      <c r="W9" s="60"/>
    </row>
    <row r="10" spans="1:23" ht="18" customHeight="1" thickBot="1" x14ac:dyDescent="0.3">
      <c r="A10" s="59"/>
      <c r="B10" s="59"/>
      <c r="C10" s="63"/>
      <c r="D10" s="60"/>
      <c r="E10" s="60"/>
      <c r="F10" s="60"/>
      <c r="G10" s="60"/>
      <c r="H10" s="60"/>
      <c r="I10" s="61"/>
      <c r="J10" s="61"/>
      <c r="K10" s="61"/>
      <c r="L10" s="61"/>
      <c r="M10" s="60"/>
      <c r="N10" s="60"/>
      <c r="O10" s="60"/>
      <c r="P10" s="60"/>
      <c r="Q10" s="61"/>
      <c r="R10" s="61"/>
      <c r="S10" s="61"/>
      <c r="T10" s="61"/>
      <c r="U10" s="61"/>
      <c r="V10" s="60"/>
      <c r="W10" s="60"/>
    </row>
    <row r="11" spans="1:23" ht="17.5" customHeight="1" x14ac:dyDescent="0.25">
      <c r="A11" s="64"/>
      <c r="B11" s="64"/>
      <c r="C11" s="64" t="s">
        <v>292</v>
      </c>
      <c r="D11" s="65"/>
      <c r="E11" s="65"/>
      <c r="F11" s="65"/>
      <c r="G11" s="65"/>
      <c r="H11" s="65"/>
      <c r="I11" s="65"/>
      <c r="J11" s="65"/>
      <c r="K11" s="65"/>
      <c r="L11" s="65"/>
      <c r="M11" s="65"/>
      <c r="N11" s="65"/>
      <c r="O11" s="65"/>
      <c r="P11" s="65"/>
      <c r="Q11" s="65"/>
      <c r="R11" s="65"/>
      <c r="S11" s="65"/>
      <c r="T11" s="65"/>
      <c r="U11" s="65"/>
      <c r="V11" s="65"/>
      <c r="W11" s="65"/>
    </row>
    <row r="12" spans="1:23" ht="17.5" customHeight="1" x14ac:dyDescent="0.25">
      <c r="A12" s="59"/>
      <c r="B12" s="59"/>
      <c r="C12" s="59" t="s">
        <v>293</v>
      </c>
      <c r="D12" s="60" t="s">
        <v>287</v>
      </c>
      <c r="E12" s="60" t="s">
        <v>287</v>
      </c>
      <c r="F12" s="60" t="s">
        <v>287</v>
      </c>
      <c r="G12" s="60" t="s">
        <v>290</v>
      </c>
      <c r="H12" s="60" t="s">
        <v>288</v>
      </c>
      <c r="I12" s="61" t="s">
        <v>288</v>
      </c>
      <c r="J12" s="61" t="s">
        <v>290</v>
      </c>
      <c r="K12" s="61" t="s">
        <v>288</v>
      </c>
      <c r="L12" s="61" t="s">
        <v>288</v>
      </c>
      <c r="M12" s="60" t="s">
        <v>288</v>
      </c>
      <c r="N12" s="60" t="s">
        <v>290</v>
      </c>
      <c r="O12" s="60" t="s">
        <v>288</v>
      </c>
      <c r="P12" s="60" t="s">
        <v>288</v>
      </c>
      <c r="Q12" s="61" t="s">
        <v>288</v>
      </c>
      <c r="R12" s="61" t="s">
        <v>288</v>
      </c>
      <c r="S12" s="61" t="s">
        <v>288</v>
      </c>
      <c r="T12" s="61"/>
      <c r="U12" s="61"/>
      <c r="V12" s="60" t="s">
        <v>290</v>
      </c>
      <c r="W12" s="60"/>
    </row>
    <row r="13" spans="1:23" ht="17.5" customHeight="1" x14ac:dyDescent="0.25">
      <c r="A13" s="62"/>
      <c r="B13" s="62"/>
      <c r="C13" s="59" t="s">
        <v>294</v>
      </c>
      <c r="D13" s="60" t="s">
        <v>287</v>
      </c>
      <c r="E13" s="60" t="s">
        <v>287</v>
      </c>
      <c r="F13" s="60" t="s">
        <v>288</v>
      </c>
      <c r="G13" s="60" t="s">
        <v>295</v>
      </c>
      <c r="H13" s="60" t="s">
        <v>288</v>
      </c>
      <c r="I13" s="61" t="s">
        <v>290</v>
      </c>
      <c r="J13" s="61" t="s">
        <v>290</v>
      </c>
      <c r="K13" s="61" t="s">
        <v>288</v>
      </c>
      <c r="L13" s="61" t="s">
        <v>288</v>
      </c>
      <c r="M13" s="60" t="s">
        <v>290</v>
      </c>
      <c r="N13" s="60" t="s">
        <v>290</v>
      </c>
      <c r="O13" s="60" t="s">
        <v>288</v>
      </c>
      <c r="P13" s="60" t="s">
        <v>288</v>
      </c>
      <c r="Q13" s="61" t="s">
        <v>288</v>
      </c>
      <c r="R13" s="61" t="s">
        <v>290</v>
      </c>
      <c r="S13" s="61" t="s">
        <v>288</v>
      </c>
      <c r="T13" s="61" t="s">
        <v>288</v>
      </c>
      <c r="U13" s="61" t="s">
        <v>288</v>
      </c>
      <c r="V13" s="60"/>
      <c r="W13" s="60" t="s">
        <v>288</v>
      </c>
    </row>
    <row r="14" spans="1:23" ht="17.5" customHeight="1" x14ac:dyDescent="0.25">
      <c r="A14" s="62"/>
      <c r="B14" s="62"/>
      <c r="C14" s="59" t="s">
        <v>296</v>
      </c>
      <c r="D14" s="60" t="s">
        <v>287</v>
      </c>
      <c r="E14" s="60" t="s">
        <v>288</v>
      </c>
      <c r="F14" s="60" t="s">
        <v>288</v>
      </c>
      <c r="G14" s="60" t="s">
        <v>288</v>
      </c>
      <c r="H14" s="60" t="s">
        <v>287</v>
      </c>
      <c r="I14" s="61" t="s">
        <v>290</v>
      </c>
      <c r="J14" s="61" t="s">
        <v>288</v>
      </c>
      <c r="K14" s="61" t="s">
        <v>287</v>
      </c>
      <c r="L14" s="61" t="s">
        <v>287</v>
      </c>
      <c r="M14" s="60" t="s">
        <v>290</v>
      </c>
      <c r="N14" s="60" t="s">
        <v>288</v>
      </c>
      <c r="O14" s="60" t="s">
        <v>287</v>
      </c>
      <c r="P14" s="60" t="s">
        <v>287</v>
      </c>
      <c r="Q14" s="61" t="s">
        <v>288</v>
      </c>
      <c r="R14" s="61" t="s">
        <v>290</v>
      </c>
      <c r="S14" s="61" t="s">
        <v>288</v>
      </c>
      <c r="T14" s="61" t="s">
        <v>288</v>
      </c>
      <c r="U14" s="61" t="s">
        <v>288</v>
      </c>
      <c r="V14" s="60"/>
      <c r="W14" s="60" t="s">
        <v>289</v>
      </c>
    </row>
    <row r="15" spans="1:23" ht="28" x14ac:dyDescent="0.25">
      <c r="A15" s="62"/>
      <c r="B15" s="62"/>
      <c r="C15" s="59" t="s">
        <v>297</v>
      </c>
      <c r="D15" s="60" t="s">
        <v>287</v>
      </c>
      <c r="E15" s="60" t="s">
        <v>288</v>
      </c>
      <c r="F15" s="60" t="s">
        <v>288</v>
      </c>
      <c r="G15" s="60" t="s">
        <v>295</v>
      </c>
      <c r="H15" s="60" t="s">
        <v>288</v>
      </c>
      <c r="I15" s="61" t="s">
        <v>290</v>
      </c>
      <c r="J15" s="61" t="s">
        <v>290</v>
      </c>
      <c r="K15" s="61" t="s">
        <v>287</v>
      </c>
      <c r="L15" s="61" t="s">
        <v>287</v>
      </c>
      <c r="M15" s="60" t="s">
        <v>290</v>
      </c>
      <c r="N15" s="60" t="s">
        <v>290</v>
      </c>
      <c r="O15" s="60" t="s">
        <v>287</v>
      </c>
      <c r="P15" s="60" t="s">
        <v>287</v>
      </c>
      <c r="Q15" s="61" t="s">
        <v>288</v>
      </c>
      <c r="R15" s="61" t="s">
        <v>288</v>
      </c>
      <c r="S15" s="61" t="s">
        <v>288</v>
      </c>
      <c r="T15" s="61" t="s">
        <v>287</v>
      </c>
      <c r="U15" s="61" t="s">
        <v>287</v>
      </c>
      <c r="V15" s="60"/>
      <c r="W15" s="60" t="s">
        <v>288</v>
      </c>
    </row>
    <row r="16" spans="1:23" ht="17.5" customHeight="1" x14ac:dyDescent="0.25">
      <c r="A16" s="62"/>
      <c r="B16" s="62"/>
      <c r="C16" s="59" t="s">
        <v>298</v>
      </c>
      <c r="D16" s="60" t="s">
        <v>287</v>
      </c>
      <c r="E16" s="60" t="s">
        <v>287</v>
      </c>
      <c r="F16" s="60" t="s">
        <v>288</v>
      </c>
      <c r="G16" s="60" t="s">
        <v>295</v>
      </c>
      <c r="H16" s="60" t="s">
        <v>288</v>
      </c>
      <c r="I16" s="61" t="s">
        <v>290</v>
      </c>
      <c r="J16" s="61" t="s">
        <v>290</v>
      </c>
      <c r="K16" s="61" t="s">
        <v>288</v>
      </c>
      <c r="L16" s="61" t="s">
        <v>288</v>
      </c>
      <c r="M16" s="60" t="s">
        <v>290</v>
      </c>
      <c r="N16" s="60" t="s">
        <v>290</v>
      </c>
      <c r="O16" s="60" t="s">
        <v>288</v>
      </c>
      <c r="P16" s="60" t="s">
        <v>288</v>
      </c>
      <c r="Q16" s="61" t="s">
        <v>288</v>
      </c>
      <c r="R16" s="61" t="s">
        <v>288</v>
      </c>
      <c r="S16" s="61" t="s">
        <v>287</v>
      </c>
      <c r="T16" s="61" t="s">
        <v>287</v>
      </c>
      <c r="U16" s="61" t="s">
        <v>287</v>
      </c>
      <c r="V16" s="60"/>
      <c r="W16" s="60" t="s">
        <v>288</v>
      </c>
    </row>
    <row r="17" spans="1:23" ht="17.5" customHeight="1" x14ac:dyDescent="0.25">
      <c r="A17" s="62"/>
      <c r="B17" s="62"/>
      <c r="C17" s="59" t="s">
        <v>299</v>
      </c>
      <c r="D17" s="60" t="s">
        <v>287</v>
      </c>
      <c r="E17" s="60" t="s">
        <v>287</v>
      </c>
      <c r="F17" s="60" t="s">
        <v>288</v>
      </c>
      <c r="G17" s="60" t="s">
        <v>295</v>
      </c>
      <c r="H17" s="60" t="s">
        <v>288</v>
      </c>
      <c r="I17" s="61" t="s">
        <v>288</v>
      </c>
      <c r="J17" s="61" t="s">
        <v>290</v>
      </c>
      <c r="K17" s="61" t="s">
        <v>290</v>
      </c>
      <c r="L17" s="61" t="s">
        <v>290</v>
      </c>
      <c r="M17" s="60" t="s">
        <v>288</v>
      </c>
      <c r="N17" s="60" t="s">
        <v>290</v>
      </c>
      <c r="O17" s="60" t="s">
        <v>290</v>
      </c>
      <c r="P17" s="60" t="s">
        <v>290</v>
      </c>
      <c r="Q17" s="61" t="s">
        <v>288</v>
      </c>
      <c r="R17" s="61" t="s">
        <v>288</v>
      </c>
      <c r="S17" s="61" t="s">
        <v>290</v>
      </c>
      <c r="T17" s="61" t="s">
        <v>290</v>
      </c>
      <c r="U17" s="61" t="s">
        <v>290</v>
      </c>
      <c r="V17" s="60"/>
      <c r="W17" s="60" t="s">
        <v>288</v>
      </c>
    </row>
    <row r="18" spans="1:23" ht="18" customHeight="1" thickBot="1" x14ac:dyDescent="0.3">
      <c r="A18" s="63"/>
      <c r="B18" s="63"/>
      <c r="C18" s="59"/>
      <c r="D18" s="60"/>
      <c r="E18" s="60"/>
      <c r="F18" s="60"/>
      <c r="G18" s="60"/>
      <c r="H18" s="60"/>
      <c r="I18" s="61"/>
      <c r="J18" s="61"/>
      <c r="K18" s="61"/>
      <c r="L18" s="61"/>
      <c r="M18" s="60"/>
      <c r="N18" s="60"/>
      <c r="O18" s="60"/>
      <c r="P18" s="60"/>
      <c r="Q18" s="61"/>
      <c r="R18" s="61"/>
      <c r="S18" s="61"/>
      <c r="T18" s="61"/>
      <c r="U18" s="61"/>
      <c r="V18" s="60"/>
      <c r="W18" s="60"/>
    </row>
    <row r="19" spans="1:23" ht="17.5" customHeight="1" x14ac:dyDescent="0.25">
      <c r="A19" s="64"/>
      <c r="B19" s="64"/>
      <c r="C19" s="64" t="s">
        <v>300</v>
      </c>
      <c r="D19" s="65"/>
      <c r="E19" s="65"/>
      <c r="F19" s="65"/>
      <c r="G19" s="65"/>
      <c r="H19" s="65"/>
      <c r="I19" s="65"/>
      <c r="J19" s="65"/>
      <c r="K19" s="65"/>
      <c r="L19" s="65"/>
      <c r="M19" s="65"/>
      <c r="N19" s="65"/>
      <c r="O19" s="65"/>
      <c r="P19" s="65"/>
      <c r="Q19" s="65"/>
      <c r="R19" s="65"/>
      <c r="S19" s="65"/>
      <c r="T19" s="65"/>
      <c r="U19" s="65"/>
      <c r="V19" s="65"/>
      <c r="W19" s="65"/>
    </row>
    <row r="20" spans="1:23" ht="17.5" customHeight="1" x14ac:dyDescent="0.25">
      <c r="A20" s="59"/>
      <c r="B20" s="59"/>
      <c r="C20" s="59" t="s">
        <v>301</v>
      </c>
      <c r="D20" s="60" t="s">
        <v>287</v>
      </c>
      <c r="E20" s="60" t="s">
        <v>287</v>
      </c>
      <c r="F20" s="60" t="s">
        <v>287</v>
      </c>
      <c r="G20" s="60" t="s">
        <v>295</v>
      </c>
      <c r="H20" s="60" t="s">
        <v>287</v>
      </c>
      <c r="I20" s="61" t="s">
        <v>288</v>
      </c>
      <c r="J20" s="61" t="s">
        <v>290</v>
      </c>
      <c r="K20" s="61" t="s">
        <v>290</v>
      </c>
      <c r="L20" s="61" t="s">
        <v>290</v>
      </c>
      <c r="M20" t="s">
        <v>288</v>
      </c>
      <c r="N20" t="s">
        <v>290</v>
      </c>
      <c r="O20" t="s">
        <v>290</v>
      </c>
      <c r="P20" t="s">
        <v>290</v>
      </c>
      <c r="Q20" s="61" t="s">
        <v>288</v>
      </c>
      <c r="R20" s="61" t="s">
        <v>288</v>
      </c>
      <c r="S20" s="61" t="s">
        <v>290</v>
      </c>
      <c r="T20" s="61" t="s">
        <v>290</v>
      </c>
      <c r="U20" s="61" t="s">
        <v>290</v>
      </c>
      <c r="V20" s="60"/>
      <c r="W20" s="60" t="s">
        <v>288</v>
      </c>
    </row>
    <row r="21" spans="1:23" ht="28" x14ac:dyDescent="0.25">
      <c r="A21" s="62"/>
      <c r="B21" s="62"/>
      <c r="C21" s="59" t="s">
        <v>302</v>
      </c>
      <c r="D21" s="60" t="s">
        <v>287</v>
      </c>
      <c r="E21" s="60" t="s">
        <v>287</v>
      </c>
      <c r="F21" s="60" t="s">
        <v>287</v>
      </c>
      <c r="G21" s="60" t="s">
        <v>295</v>
      </c>
      <c r="H21" s="60" t="s">
        <v>287</v>
      </c>
      <c r="I21" s="61" t="s">
        <v>290</v>
      </c>
      <c r="J21" s="61" t="s">
        <v>290</v>
      </c>
      <c r="K21" s="61" t="s">
        <v>288</v>
      </c>
      <c r="L21" s="61" t="s">
        <v>288</v>
      </c>
      <c r="M21" t="s">
        <v>290</v>
      </c>
      <c r="N21" t="s">
        <v>290</v>
      </c>
      <c r="O21" t="s">
        <v>288</v>
      </c>
      <c r="P21" t="s">
        <v>288</v>
      </c>
      <c r="Q21" s="61" t="s">
        <v>288</v>
      </c>
      <c r="R21" s="61" t="s">
        <v>290</v>
      </c>
      <c r="S21" s="61" t="s">
        <v>288</v>
      </c>
      <c r="T21" s="61" t="s">
        <v>287</v>
      </c>
      <c r="U21" s="61" t="s">
        <v>287</v>
      </c>
      <c r="V21" s="60"/>
      <c r="W21" s="60" t="s">
        <v>290</v>
      </c>
    </row>
    <row r="22" spans="1:23" ht="17.5" customHeight="1" x14ac:dyDescent="0.25">
      <c r="A22" s="59"/>
      <c r="B22" s="59"/>
      <c r="C22" s="59" t="s">
        <v>303</v>
      </c>
      <c r="D22" s="60" t="s">
        <v>287</v>
      </c>
      <c r="E22" s="60" t="s">
        <v>287</v>
      </c>
      <c r="F22" s="60" t="s">
        <v>287</v>
      </c>
      <c r="G22" s="60" t="s">
        <v>295</v>
      </c>
      <c r="H22" s="60" t="s">
        <v>287</v>
      </c>
      <c r="I22" s="61" t="s">
        <v>290</v>
      </c>
      <c r="J22" s="61" t="s">
        <v>288</v>
      </c>
      <c r="K22" s="61" t="s">
        <v>287</v>
      </c>
      <c r="L22" s="61" t="s">
        <v>287</v>
      </c>
      <c r="M22" t="s">
        <v>290</v>
      </c>
      <c r="N22" t="s">
        <v>288</v>
      </c>
      <c r="O22" t="s">
        <v>287</v>
      </c>
      <c r="P22" t="s">
        <v>287</v>
      </c>
      <c r="Q22" s="61" t="s">
        <v>288</v>
      </c>
      <c r="R22" s="61" t="s">
        <v>290</v>
      </c>
      <c r="S22" s="61" t="s">
        <v>288</v>
      </c>
      <c r="T22" s="61" t="s">
        <v>287</v>
      </c>
      <c r="U22" s="61" t="s">
        <v>287</v>
      </c>
      <c r="V22" s="60"/>
      <c r="W22" s="60" t="s">
        <v>288</v>
      </c>
    </row>
    <row r="23" spans="1:23" ht="17.5" customHeight="1" x14ac:dyDescent="0.25">
      <c r="A23" s="62"/>
      <c r="B23" s="62"/>
      <c r="C23" s="59" t="s">
        <v>304</v>
      </c>
      <c r="D23" s="60" t="s">
        <v>287</v>
      </c>
      <c r="E23" s="60" t="s">
        <v>287</v>
      </c>
      <c r="F23" s="60" t="s">
        <v>287</v>
      </c>
      <c r="G23" s="60" t="s">
        <v>295</v>
      </c>
      <c r="H23" s="60" t="s">
        <v>287</v>
      </c>
      <c r="I23" s="61" t="s">
        <v>290</v>
      </c>
      <c r="J23" s="61" t="s">
        <v>288</v>
      </c>
      <c r="K23" s="61" t="s">
        <v>287</v>
      </c>
      <c r="L23" s="61" t="s">
        <v>287</v>
      </c>
      <c r="M23" t="s">
        <v>290</v>
      </c>
      <c r="N23" t="s">
        <v>288</v>
      </c>
      <c r="O23" t="s">
        <v>287</v>
      </c>
      <c r="P23" t="s">
        <v>287</v>
      </c>
      <c r="Q23" s="61" t="s">
        <v>288</v>
      </c>
      <c r="R23" s="61" t="s">
        <v>290</v>
      </c>
      <c r="S23" s="61" t="s">
        <v>288</v>
      </c>
      <c r="T23" s="61" t="s">
        <v>287</v>
      </c>
      <c r="U23" s="61" t="s">
        <v>287</v>
      </c>
      <c r="V23" s="60"/>
      <c r="W23" s="60" t="s">
        <v>288</v>
      </c>
    </row>
    <row r="24" spans="1:23" ht="17.5" customHeight="1" x14ac:dyDescent="0.25">
      <c r="A24" s="62"/>
      <c r="B24" s="62"/>
      <c r="C24" s="59" t="s">
        <v>305</v>
      </c>
      <c r="D24" s="60" t="s">
        <v>288</v>
      </c>
      <c r="E24" s="60" t="s">
        <v>287</v>
      </c>
      <c r="F24" s="60" t="s">
        <v>287</v>
      </c>
      <c r="G24" s="60" t="s">
        <v>289</v>
      </c>
      <c r="H24" s="60" t="s">
        <v>290</v>
      </c>
      <c r="I24" s="61" t="s">
        <v>288</v>
      </c>
      <c r="J24" s="61" t="s">
        <v>288</v>
      </c>
      <c r="K24" s="61" t="s">
        <v>287</v>
      </c>
      <c r="L24" s="61" t="s">
        <v>287</v>
      </c>
      <c r="M24" t="s">
        <v>288</v>
      </c>
      <c r="N24" t="s">
        <v>288</v>
      </c>
      <c r="O24" t="s">
        <v>287</v>
      </c>
      <c r="P24" t="s">
        <v>287</v>
      </c>
      <c r="Q24" s="61" t="s">
        <v>288</v>
      </c>
      <c r="R24" s="61" t="s">
        <v>288</v>
      </c>
      <c r="S24" s="61" t="s">
        <v>287</v>
      </c>
      <c r="T24" s="61" t="s">
        <v>287</v>
      </c>
      <c r="U24" s="61" t="s">
        <v>287</v>
      </c>
      <c r="V24" s="60"/>
      <c r="W24" s="60" t="s">
        <v>288</v>
      </c>
    </row>
    <row r="25" spans="1:23" ht="28" x14ac:dyDescent="0.25">
      <c r="A25" s="62"/>
      <c r="B25" s="62"/>
      <c r="C25" s="59" t="s">
        <v>306</v>
      </c>
      <c r="D25" s="60" t="s">
        <v>287</v>
      </c>
      <c r="E25" s="60" t="s">
        <v>287</v>
      </c>
      <c r="F25" s="60" t="s">
        <v>287</v>
      </c>
      <c r="G25" s="60" t="s">
        <v>290</v>
      </c>
      <c r="H25" s="60" t="s">
        <v>287</v>
      </c>
      <c r="I25" s="61" t="s">
        <v>288</v>
      </c>
      <c r="J25" s="61" t="s">
        <v>288</v>
      </c>
      <c r="K25" s="61" t="s">
        <v>287</v>
      </c>
      <c r="L25" s="61" t="s">
        <v>287</v>
      </c>
      <c r="M25" t="s">
        <v>288</v>
      </c>
      <c r="N25" t="s">
        <v>288</v>
      </c>
      <c r="O25" t="s">
        <v>287</v>
      </c>
      <c r="P25" t="s">
        <v>287</v>
      </c>
      <c r="Q25" s="61" t="s">
        <v>288</v>
      </c>
      <c r="R25" s="61" t="s">
        <v>288</v>
      </c>
      <c r="S25" s="61" t="s">
        <v>287</v>
      </c>
      <c r="T25" s="61" t="s">
        <v>287</v>
      </c>
      <c r="U25" s="61" t="s">
        <v>287</v>
      </c>
      <c r="V25" s="60"/>
      <c r="W25" s="60" t="s">
        <v>287</v>
      </c>
    </row>
    <row r="26" spans="1:23" ht="18" customHeight="1" thickBot="1" x14ac:dyDescent="0.3">
      <c r="A26" s="63"/>
      <c r="B26" s="63"/>
      <c r="C26" s="59" t="s">
        <v>307</v>
      </c>
      <c r="D26" s="60" t="s">
        <v>287</v>
      </c>
      <c r="E26" s="60" t="s">
        <v>288</v>
      </c>
      <c r="F26" s="60" t="s">
        <v>288</v>
      </c>
      <c r="G26" s="60" t="s">
        <v>289</v>
      </c>
      <c r="H26" s="60" t="s">
        <v>288</v>
      </c>
      <c r="I26" s="61" t="s">
        <v>288</v>
      </c>
      <c r="J26" s="61" t="s">
        <v>287</v>
      </c>
      <c r="K26" s="61" t="s">
        <v>287</v>
      </c>
      <c r="L26" s="61" t="s">
        <v>287</v>
      </c>
      <c r="M26" t="s">
        <v>288</v>
      </c>
      <c r="N26" t="s">
        <v>287</v>
      </c>
      <c r="O26" t="s">
        <v>287</v>
      </c>
      <c r="P26" t="s">
        <v>287</v>
      </c>
      <c r="Q26" s="61" t="s">
        <v>288</v>
      </c>
      <c r="R26" s="61" t="s">
        <v>288</v>
      </c>
      <c r="S26" s="61" t="s">
        <v>287</v>
      </c>
      <c r="T26" s="61" t="s">
        <v>287</v>
      </c>
      <c r="U26" s="61" t="s">
        <v>287</v>
      </c>
      <c r="V26" s="60"/>
      <c r="W26" s="60" t="s">
        <v>288</v>
      </c>
    </row>
    <row r="27" spans="1:23" ht="17.5" customHeight="1" x14ac:dyDescent="0.25">
      <c r="A27" s="64"/>
      <c r="B27" s="64"/>
      <c r="C27" s="64" t="s">
        <v>308</v>
      </c>
      <c r="D27" s="65"/>
      <c r="E27" s="65"/>
      <c r="F27" s="65"/>
      <c r="G27" s="65"/>
      <c r="H27" s="65"/>
      <c r="I27" s="65"/>
      <c r="J27" s="65"/>
      <c r="K27" s="65"/>
      <c r="L27" s="65"/>
      <c r="M27" s="65"/>
      <c r="N27" s="65"/>
      <c r="O27" s="65"/>
      <c r="P27" s="65"/>
      <c r="Q27" s="65"/>
      <c r="R27" s="65"/>
      <c r="S27" s="65"/>
      <c r="T27" s="65"/>
      <c r="U27" s="65"/>
      <c r="V27" s="65"/>
      <c r="W27" s="65"/>
    </row>
    <row r="28" spans="1:23" ht="17.5" customHeight="1" x14ac:dyDescent="0.25">
      <c r="A28" s="62"/>
      <c r="B28" s="62"/>
      <c r="C28" s="62" t="s">
        <v>309</v>
      </c>
      <c r="D28" s="60" t="s">
        <v>287</v>
      </c>
      <c r="E28" s="60" t="s">
        <v>288</v>
      </c>
      <c r="F28" s="60" t="s">
        <v>288</v>
      </c>
      <c r="G28" s="60" t="s">
        <v>295</v>
      </c>
      <c r="H28" s="60" t="s">
        <v>288</v>
      </c>
      <c r="I28" s="61" t="s">
        <v>290</v>
      </c>
      <c r="J28" s="61" t="s">
        <v>288</v>
      </c>
      <c r="K28" s="61" t="s">
        <v>287</v>
      </c>
      <c r="L28" s="61" t="s">
        <v>287</v>
      </c>
      <c r="M28" s="60" t="s">
        <v>290</v>
      </c>
      <c r="N28" s="60" t="s">
        <v>288</v>
      </c>
      <c r="O28" s="60" t="s">
        <v>287</v>
      </c>
      <c r="P28" s="60" t="s">
        <v>287</v>
      </c>
      <c r="Q28" s="61" t="s">
        <v>288</v>
      </c>
      <c r="R28" s="61" t="s">
        <v>290</v>
      </c>
      <c r="S28" s="61" t="s">
        <v>288</v>
      </c>
      <c r="T28" s="61" t="s">
        <v>287</v>
      </c>
      <c r="U28" s="61" t="s">
        <v>287</v>
      </c>
      <c r="V28" s="60"/>
      <c r="W28" s="60" t="s">
        <v>288</v>
      </c>
    </row>
    <row r="29" spans="1:23" ht="17.5" customHeight="1" x14ac:dyDescent="0.25">
      <c r="A29" s="59"/>
      <c r="B29" s="59"/>
      <c r="C29" s="59" t="s">
        <v>310</v>
      </c>
      <c r="D29" s="60" t="s">
        <v>287</v>
      </c>
      <c r="E29" s="60" t="s">
        <v>288</v>
      </c>
      <c r="F29" s="60" t="s">
        <v>288</v>
      </c>
      <c r="G29" s="60" t="s">
        <v>290</v>
      </c>
      <c r="H29" s="60" t="s">
        <v>288</v>
      </c>
      <c r="I29" s="61" t="s">
        <v>287</v>
      </c>
      <c r="J29" s="61" t="s">
        <v>287</v>
      </c>
      <c r="K29" s="61" t="s">
        <v>287</v>
      </c>
      <c r="L29" s="61" t="s">
        <v>287</v>
      </c>
      <c r="M29" s="60" t="s">
        <v>287</v>
      </c>
      <c r="N29" s="60" t="s">
        <v>287</v>
      </c>
      <c r="O29" s="60" t="s">
        <v>287</v>
      </c>
      <c r="P29" s="60" t="s">
        <v>287</v>
      </c>
      <c r="Q29" s="61" t="s">
        <v>287</v>
      </c>
      <c r="R29" s="61" t="s">
        <v>287</v>
      </c>
      <c r="S29" s="61" t="s">
        <v>287</v>
      </c>
      <c r="T29" s="61" t="s">
        <v>287</v>
      </c>
      <c r="U29" s="61" t="s">
        <v>287</v>
      </c>
      <c r="V29" s="60"/>
      <c r="W29" s="60" t="s">
        <v>295</v>
      </c>
    </row>
    <row r="30" spans="1:23" ht="17.5" customHeight="1" x14ac:dyDescent="0.25">
      <c r="A30" s="59"/>
      <c r="B30" s="59"/>
      <c r="C30" s="59"/>
      <c r="D30" s="60"/>
      <c r="E30" s="60"/>
      <c r="F30" s="60"/>
      <c r="G30" s="60"/>
      <c r="H30" s="60"/>
      <c r="I30" s="61"/>
      <c r="J30" s="61"/>
      <c r="K30" s="61"/>
      <c r="L30" s="61"/>
      <c r="M30" s="60"/>
      <c r="N30" s="60"/>
      <c r="O30" s="60"/>
      <c r="P30" s="60"/>
      <c r="Q30" s="61"/>
      <c r="R30" s="61"/>
      <c r="S30" s="61"/>
      <c r="T30" s="61"/>
      <c r="U30" s="61"/>
      <c r="V30" s="60"/>
      <c r="W30" s="60"/>
    </row>
    <row r="31" spans="1:23" ht="17.5" customHeight="1" x14ac:dyDescent="0.25">
      <c r="A31" s="62"/>
      <c r="B31" s="62"/>
      <c r="C31" s="62"/>
      <c r="D31" s="60"/>
      <c r="E31" s="60"/>
      <c r="F31" s="60"/>
      <c r="G31" s="60"/>
      <c r="H31" s="60"/>
      <c r="I31" s="61"/>
      <c r="J31" s="61"/>
      <c r="K31" s="61"/>
      <c r="L31" s="61"/>
      <c r="M31" s="60"/>
      <c r="N31" s="60"/>
      <c r="O31" s="60"/>
      <c r="P31" s="60"/>
      <c r="Q31" s="61"/>
      <c r="R31" s="61"/>
      <c r="S31" s="61"/>
      <c r="T31" s="61"/>
      <c r="U31" s="61"/>
      <c r="V31" s="60"/>
      <c r="W31" s="60"/>
    </row>
    <row r="32" spans="1:23" ht="17.5" customHeight="1" x14ac:dyDescent="0.25">
      <c r="A32" s="62"/>
      <c r="B32" s="62"/>
      <c r="C32" s="62"/>
      <c r="D32" s="60"/>
      <c r="E32" s="60"/>
      <c r="F32" s="60"/>
      <c r="G32" s="60"/>
      <c r="H32" s="60"/>
      <c r="I32" s="61"/>
      <c r="J32" s="61"/>
      <c r="K32" s="61"/>
      <c r="L32" s="61"/>
      <c r="M32" s="60"/>
      <c r="N32" s="60"/>
      <c r="O32" s="60"/>
      <c r="P32" s="60"/>
      <c r="Q32" s="61"/>
      <c r="R32" s="61"/>
      <c r="S32" s="61"/>
      <c r="T32" s="61"/>
      <c r="U32" s="61"/>
      <c r="V32" s="60"/>
      <c r="W32" s="60"/>
    </row>
    <row r="33" spans="1:23" ht="17.5" customHeight="1" x14ac:dyDescent="0.25">
      <c r="A33" s="62"/>
      <c r="B33" s="62"/>
      <c r="C33" s="62"/>
      <c r="D33" s="60"/>
      <c r="E33" s="60"/>
      <c r="F33" s="60"/>
      <c r="G33" s="60"/>
      <c r="H33" s="60"/>
      <c r="I33" s="61"/>
      <c r="J33" s="61"/>
      <c r="K33" s="61"/>
      <c r="L33" s="61"/>
      <c r="M33" s="60"/>
      <c r="N33" s="60"/>
      <c r="O33" s="60"/>
      <c r="P33" s="60"/>
      <c r="Q33" s="61"/>
      <c r="R33" s="61"/>
      <c r="S33" s="61"/>
      <c r="T33" s="61"/>
      <c r="U33" s="61"/>
      <c r="V33" s="60"/>
      <c r="W33" s="60"/>
    </row>
    <row r="34" spans="1:23" ht="18" customHeight="1" thickBot="1" x14ac:dyDescent="0.3">
      <c r="A34" s="63"/>
      <c r="B34" s="63"/>
      <c r="C34" s="63"/>
      <c r="D34" s="60"/>
      <c r="E34" s="60"/>
      <c r="F34" s="60"/>
      <c r="G34" s="60"/>
      <c r="H34" s="60"/>
      <c r="I34" s="61"/>
      <c r="J34" s="61"/>
      <c r="K34" s="61"/>
      <c r="L34" s="61"/>
      <c r="M34" s="60"/>
      <c r="N34" s="60"/>
      <c r="O34" s="60"/>
      <c r="P34" s="60"/>
      <c r="Q34" s="61"/>
      <c r="R34" s="61"/>
      <c r="S34" s="61"/>
      <c r="T34" s="61"/>
      <c r="U34" s="61"/>
      <c r="V34" s="60"/>
      <c r="W34" s="60"/>
    </row>
  </sheetData>
  <mergeCells count="5">
    <mergeCell ref="V2:W2"/>
    <mergeCell ref="I2:L2"/>
    <mergeCell ref="M2:P2"/>
    <mergeCell ref="D2:H2"/>
    <mergeCell ref="Q2:U2"/>
  </mergeCells>
  <phoneticPr fontId="30" type="noConversion"/>
  <conditionalFormatting sqref="A3:A34">
    <cfRule type="containsText" dxfId="15" priority="5" operator="containsText" text="Low">
      <formula>NOT(ISERROR(SEARCH("Low",A3)))</formula>
    </cfRule>
    <cfRule type="containsText" dxfId="14" priority="6" operator="containsText" text="Medium">
      <formula>NOT(ISERROR(SEARCH("Medium",A3)))</formula>
    </cfRule>
    <cfRule type="containsText" dxfId="13" priority="7" operator="containsText" text="High">
      <formula>NOT(ISERROR(SEARCH("High",A3)))</formula>
    </cfRule>
  </conditionalFormatting>
  <conditionalFormatting sqref="B3:B34">
    <cfRule type="containsText" dxfId="12" priority="12" operator="containsText" text="Approved">
      <formula>NOT(ISERROR(SEARCH("Approved",B3)))</formula>
    </cfRule>
    <cfRule type="containsText" dxfId="11" priority="13" operator="containsText" text="Needs Review">
      <formula>NOT(ISERROR(SEARCH("Needs Review",B3)))</formula>
    </cfRule>
    <cfRule type="containsText" dxfId="10" priority="14" operator="containsText" text="Not Started">
      <formula>NOT(ISERROR(SEARCH("Not Started",B3)))</formula>
    </cfRule>
    <cfRule type="containsText" dxfId="9" priority="15" operator="containsText" text="On Hold">
      <formula>NOT(ISERROR(SEARCH("On Hold",B3)))</formula>
    </cfRule>
    <cfRule type="containsText" dxfId="8" priority="16" operator="containsText" text="Overdue">
      <formula>NOT(ISERROR(SEARCH("Overdue",B3)))</formula>
    </cfRule>
    <cfRule type="containsText" dxfId="7" priority="17" operator="containsText" text="Complete">
      <formula>NOT(ISERROR(SEARCH("Complete",B3)))</formula>
    </cfRule>
    <cfRule type="containsText" dxfId="6" priority="18" operator="containsText" text="In Progress">
      <formula>NOT(ISERROR(SEARCH("In Progress",B3)))</formula>
    </cfRule>
  </conditionalFormatting>
  <conditionalFormatting sqref="D3:W34">
    <cfRule type="containsText" dxfId="5" priority="1" operator="containsText" text="R">
      <formula>NOT(ISERROR(SEARCH("R",D3)))</formula>
    </cfRule>
    <cfRule type="containsText" dxfId="4" priority="2" operator="containsText" text="A">
      <formula>NOT(ISERROR(SEARCH("A",D3)))</formula>
    </cfRule>
    <cfRule type="containsText" dxfId="3" priority="3" operator="containsText" text="C">
      <formula>NOT(ISERROR(SEARCH("C",D3)))</formula>
    </cfRule>
    <cfRule type="containsText" dxfId="2" priority="4" operator="containsText" text="I">
      <formula>NOT(ISERROR(SEARCH("I",D3)))</formula>
    </cfRule>
  </conditionalFormatting>
  <dataValidations count="3">
    <dataValidation type="list" allowBlank="1" showInputMessage="1" showErrorMessage="1" sqref="A3:B3 A11:B11 A19:B19 A27:B27" xr:uid="{00000000-0002-0000-0B00-000000000000}">
      <formula1>#REF!</formula1>
    </dataValidation>
    <dataValidation type="list" allowBlank="1" showInputMessage="1" showErrorMessage="1" sqref="B4:B10 B12:B18 B20:B26 B28:B34" xr:uid="{00000000-0002-0000-0B00-000001000000}">
      <formula1>"Not Started,In Progress,Complete,Needs Review,Approved,Overdue,On Hold"</formula1>
    </dataValidation>
    <dataValidation type="list" allowBlank="1" showInputMessage="1" showErrorMessage="1" sqref="A4:A10 A12:A18 A20:A26 A28:A34" xr:uid="{00000000-0002-0000-0B00-000002000000}">
      <formula1>"Low,Medium,High"</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1"/>
  <sheetViews>
    <sheetView zoomScaleNormal="100" zoomScalePageLayoutView="60" workbookViewId="0">
      <selection activeCell="A2" sqref="A2:N2"/>
    </sheetView>
  </sheetViews>
  <sheetFormatPr defaultColWidth="8.7265625" defaultRowHeight="12.75" customHeight="1" x14ac:dyDescent="0.25"/>
  <cols>
    <col min="1" max="1" width="12.81640625" customWidth="1"/>
    <col min="2" max="2" width="17.81640625" customWidth="1"/>
    <col min="3" max="3" width="20" customWidth="1"/>
    <col min="4" max="4" width="30" customWidth="1"/>
    <col min="5" max="5" width="24" customWidth="1"/>
    <col min="6" max="6" width="29.7265625" customWidth="1"/>
    <col min="7" max="7" width="24" customWidth="1"/>
    <col min="8" max="8" width="12" customWidth="1"/>
    <col min="9" max="9" width="18" customWidth="1"/>
    <col min="10" max="10" width="16" customWidth="1"/>
    <col min="11" max="11" width="12" customWidth="1"/>
    <col min="12" max="12" width="16.26953125" customWidth="1"/>
    <col min="13" max="13" width="29.81640625" customWidth="1"/>
    <col min="14" max="14" width="26" customWidth="1"/>
  </cols>
  <sheetData>
    <row r="1" spans="1:14" ht="24" customHeight="1" x14ac:dyDescent="0.3">
      <c r="A1" s="77" t="s">
        <v>311</v>
      </c>
      <c r="B1" s="78" t="s">
        <v>312</v>
      </c>
      <c r="C1" s="78" t="s">
        <v>313</v>
      </c>
      <c r="D1" s="78" t="s">
        <v>314</v>
      </c>
      <c r="E1" s="78" t="s">
        <v>315</v>
      </c>
      <c r="F1" s="78" t="s">
        <v>316</v>
      </c>
      <c r="G1" s="78" t="s">
        <v>317</v>
      </c>
      <c r="H1" s="78" t="s">
        <v>204</v>
      </c>
      <c r="I1" s="78" t="s">
        <v>75</v>
      </c>
      <c r="J1" s="78" t="s">
        <v>81</v>
      </c>
      <c r="K1" s="78" t="s">
        <v>206</v>
      </c>
      <c r="L1" s="78" t="s">
        <v>318</v>
      </c>
      <c r="M1" s="78" t="s">
        <v>319</v>
      </c>
      <c r="N1" s="79" t="s">
        <v>320</v>
      </c>
    </row>
    <row r="2" spans="1:14" ht="13.5" customHeight="1" x14ac:dyDescent="0.25">
      <c r="A2" s="75"/>
      <c r="B2" s="43"/>
      <c r="C2" s="42"/>
      <c r="D2" s="42"/>
      <c r="E2" s="42"/>
      <c r="F2" s="42"/>
      <c r="G2" s="42"/>
      <c r="H2" s="42"/>
      <c r="I2" s="42"/>
      <c r="J2" s="42"/>
      <c r="K2" s="42"/>
      <c r="L2" s="43"/>
      <c r="M2" s="43"/>
      <c r="N2" s="85"/>
    </row>
    <row r="3" spans="1:14" ht="13.5" customHeight="1" x14ac:dyDescent="0.25">
      <c r="A3" s="75" t="str">
        <f t="shared" ref="A3:A11" si="0">IF(COUNTA($D3:$N3)=0,"","CR-"&amp;TEXT(ROW()-1,"000"))</f>
        <v/>
      </c>
      <c r="B3" s="43"/>
      <c r="C3" s="42"/>
      <c r="D3" s="42"/>
      <c r="E3" s="42"/>
      <c r="F3" s="42"/>
      <c r="G3" s="42"/>
      <c r="H3" s="42"/>
      <c r="I3" s="42"/>
      <c r="J3" s="42"/>
      <c r="K3" s="42"/>
      <c r="L3" s="43"/>
      <c r="M3" s="43"/>
      <c r="N3" s="85"/>
    </row>
    <row r="4" spans="1:14" ht="13.5" customHeight="1" x14ac:dyDescent="0.25">
      <c r="A4" s="75" t="str">
        <f t="shared" si="0"/>
        <v/>
      </c>
      <c r="B4" s="43"/>
      <c r="C4" s="42"/>
      <c r="D4" s="42"/>
      <c r="E4" s="42"/>
      <c r="F4" s="42"/>
      <c r="G4" s="42"/>
      <c r="H4" s="42"/>
      <c r="I4" s="42"/>
      <c r="J4" s="42"/>
      <c r="K4" s="42"/>
      <c r="L4" s="43"/>
      <c r="M4" s="43"/>
      <c r="N4" s="85"/>
    </row>
    <row r="5" spans="1:14" ht="13.5" customHeight="1" x14ac:dyDescent="0.25">
      <c r="A5" s="75" t="str">
        <f t="shared" si="0"/>
        <v/>
      </c>
      <c r="B5" s="43"/>
      <c r="C5" s="42"/>
      <c r="D5" s="42"/>
      <c r="E5" s="42"/>
      <c r="F5" s="42"/>
      <c r="G5" s="42"/>
      <c r="H5" s="42"/>
      <c r="I5" s="42"/>
      <c r="J5" s="42"/>
      <c r="K5" s="42"/>
      <c r="L5" s="43"/>
      <c r="M5" s="43"/>
      <c r="N5" s="85"/>
    </row>
    <row r="6" spans="1:14" ht="13.5" customHeight="1" x14ac:dyDescent="0.25">
      <c r="A6" s="75" t="str">
        <f t="shared" si="0"/>
        <v/>
      </c>
      <c r="B6" s="43"/>
      <c r="C6" s="42"/>
      <c r="D6" s="42"/>
      <c r="E6" s="42"/>
      <c r="F6" s="42"/>
      <c r="G6" s="42"/>
      <c r="H6" s="42"/>
      <c r="I6" s="42"/>
      <c r="J6" s="42"/>
      <c r="K6" s="42"/>
      <c r="L6" s="43"/>
      <c r="M6" s="43"/>
      <c r="N6" s="85"/>
    </row>
    <row r="7" spans="1:14" ht="13.5" customHeight="1" x14ac:dyDescent="0.25">
      <c r="A7" s="75" t="str">
        <f t="shared" si="0"/>
        <v/>
      </c>
      <c r="B7" s="43"/>
      <c r="C7" s="42"/>
      <c r="D7" s="42"/>
      <c r="E7" s="42"/>
      <c r="F7" s="42"/>
      <c r="G7" s="42"/>
      <c r="H7" s="42"/>
      <c r="I7" s="42"/>
      <c r="J7" s="42"/>
      <c r="K7" s="42"/>
      <c r="L7" s="43"/>
      <c r="M7" s="43"/>
      <c r="N7" s="85"/>
    </row>
    <row r="8" spans="1:14" ht="13.5" customHeight="1" x14ac:dyDescent="0.25">
      <c r="A8" s="75" t="str">
        <f t="shared" si="0"/>
        <v/>
      </c>
      <c r="B8" s="43"/>
      <c r="C8" s="42"/>
      <c r="D8" s="42"/>
      <c r="E8" s="42"/>
      <c r="F8" s="42"/>
      <c r="G8" s="42"/>
      <c r="H8" s="42"/>
      <c r="I8" s="42"/>
      <c r="J8" s="42"/>
      <c r="K8" s="42"/>
      <c r="L8" s="43"/>
      <c r="M8" s="43"/>
      <c r="N8" s="85"/>
    </row>
    <row r="9" spans="1:14" ht="13.5" customHeight="1" x14ac:dyDescent="0.25">
      <c r="A9" s="75" t="str">
        <f t="shared" si="0"/>
        <v/>
      </c>
      <c r="B9" s="43"/>
      <c r="C9" s="42"/>
      <c r="D9" s="42"/>
      <c r="E9" s="42"/>
      <c r="F9" s="42"/>
      <c r="G9" s="42"/>
      <c r="H9" s="42"/>
      <c r="I9" s="42"/>
      <c r="J9" s="42"/>
      <c r="K9" s="42"/>
      <c r="L9" s="43"/>
      <c r="M9" s="43"/>
      <c r="N9" s="85"/>
    </row>
    <row r="10" spans="1:14" ht="13.5" customHeight="1" x14ac:dyDescent="0.25">
      <c r="A10" s="75" t="str">
        <f t="shared" si="0"/>
        <v/>
      </c>
      <c r="B10" s="43"/>
      <c r="C10" s="42"/>
      <c r="D10" s="42"/>
      <c r="E10" s="42"/>
      <c r="F10" s="42"/>
      <c r="G10" s="42"/>
      <c r="H10" s="42"/>
      <c r="I10" s="42"/>
      <c r="J10" s="42"/>
      <c r="K10" s="42"/>
      <c r="L10" s="43"/>
      <c r="M10" s="43"/>
      <c r="N10" s="85"/>
    </row>
    <row r="11" spans="1:14" ht="13.5" customHeight="1" x14ac:dyDescent="0.25">
      <c r="A11" s="80" t="str">
        <f t="shared" si="0"/>
        <v/>
      </c>
      <c r="B11" s="83"/>
      <c r="C11" s="81"/>
      <c r="D11" s="81"/>
      <c r="E11" s="81"/>
      <c r="F11" s="81"/>
      <c r="G11" s="81"/>
      <c r="H11" s="81"/>
      <c r="I11" s="81"/>
      <c r="J11" s="81"/>
      <c r="K11" s="81"/>
      <c r="L11" s="83"/>
      <c r="M11" s="83"/>
      <c r="N11" s="86"/>
    </row>
  </sheetData>
  <dataValidations count="3">
    <dataValidation type="list" operator="equal" allowBlank="1" sqref="H2:H11" xr:uid="{00000000-0002-0000-0D00-000000000000}">
      <formula1>Priority</formula1>
      <formula2>0</formula2>
    </dataValidation>
    <dataValidation type="list" operator="equal" allowBlank="1" sqref="J2:J11" xr:uid="{00000000-0002-0000-0D00-000001000000}">
      <formula1>ChangeStatus</formula1>
      <formula2>0</formula2>
    </dataValidation>
    <dataValidation type="list" operator="equal" allowBlank="1" sqref="K2:K11" xr:uid="{00000000-0002-0000-0D00-000002000000}">
      <formula1>Decision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
  <sheetViews>
    <sheetView zoomScaleNormal="100" zoomScalePageLayoutView="60" workbookViewId="0">
      <selection activeCell="J20" sqref="J20"/>
    </sheetView>
  </sheetViews>
  <sheetFormatPr defaultColWidth="8.7265625" defaultRowHeight="12.75" customHeight="1" x14ac:dyDescent="0.25"/>
  <cols>
    <col min="1" max="1" width="13.1796875" customWidth="1"/>
    <col min="2" max="2" width="29.7265625" customWidth="1"/>
    <col min="3" max="3" width="18" customWidth="1"/>
    <col min="4" max="4" width="24.7265625" customWidth="1"/>
    <col min="5" max="5" width="15" customWidth="1"/>
    <col min="6" max="7" width="14" customWidth="1"/>
    <col min="8" max="8" width="16" customWidth="1"/>
    <col min="9" max="9" width="14" customWidth="1"/>
    <col min="10" max="10" width="25.81640625" customWidth="1"/>
    <col min="11" max="11" width="29.26953125" customWidth="1"/>
    <col min="12" max="12" width="24" customWidth="1"/>
    <col min="13" max="13" width="19.26953125" customWidth="1"/>
  </cols>
  <sheetData>
    <row r="1" spans="1:13" ht="24" customHeight="1" x14ac:dyDescent="0.3">
      <c r="A1" s="77" t="s">
        <v>321</v>
      </c>
      <c r="B1" s="78" t="s">
        <v>322</v>
      </c>
      <c r="C1" s="78" t="s">
        <v>182</v>
      </c>
      <c r="D1" s="78" t="s">
        <v>323</v>
      </c>
      <c r="E1" s="78" t="s">
        <v>324</v>
      </c>
      <c r="F1" s="78" t="s">
        <v>6</v>
      </c>
      <c r="G1" s="78" t="s">
        <v>325</v>
      </c>
      <c r="H1" s="78" t="s">
        <v>81</v>
      </c>
      <c r="I1" s="78" t="s">
        <v>203</v>
      </c>
      <c r="J1" s="78" t="s">
        <v>326</v>
      </c>
      <c r="K1" s="78" t="s">
        <v>327</v>
      </c>
      <c r="L1" s="78" t="s">
        <v>129</v>
      </c>
      <c r="M1" s="79" t="s">
        <v>328</v>
      </c>
    </row>
    <row r="2" spans="1:13" ht="13.5" customHeight="1" x14ac:dyDescent="0.25">
      <c r="A2" s="116" t="s">
        <v>439</v>
      </c>
      <c r="B2" s="116" t="s">
        <v>440</v>
      </c>
      <c r="C2" s="116" t="s">
        <v>441</v>
      </c>
      <c r="D2" s="42" t="s">
        <v>441</v>
      </c>
      <c r="E2" s="44">
        <v>0.25</v>
      </c>
      <c r="F2" s="43">
        <v>45792</v>
      </c>
      <c r="G2" s="43">
        <v>45961</v>
      </c>
      <c r="H2" s="42" t="s">
        <v>226</v>
      </c>
      <c r="I2" s="42" t="s">
        <v>158</v>
      </c>
      <c r="J2" s="42" t="s">
        <v>478</v>
      </c>
      <c r="K2" s="42"/>
      <c r="L2" s="42"/>
      <c r="M2" s="76" t="str">
        <f t="shared" ref="M2:M15" si="0">IF($B2="","",IF($E2&gt;1,"Overallocated",IF($E2&gt;=0.8,"High Allocation",IF($E2&gt;0,"Planned","Unassigned"))))</f>
        <v>Planned</v>
      </c>
    </row>
    <row r="3" spans="1:13" ht="13.5" customHeight="1" x14ac:dyDescent="0.25">
      <c r="A3" s="116" t="s">
        <v>442</v>
      </c>
      <c r="B3" s="116" t="s">
        <v>443</v>
      </c>
      <c r="C3" s="116" t="s">
        <v>444</v>
      </c>
      <c r="D3" s="42" t="s">
        <v>332</v>
      </c>
      <c r="E3" s="44">
        <v>1</v>
      </c>
      <c r="F3" s="43">
        <v>45778</v>
      </c>
      <c r="G3" s="43">
        <v>45922</v>
      </c>
      <c r="H3" s="42" t="s">
        <v>242</v>
      </c>
      <c r="I3" s="42" t="s">
        <v>158</v>
      </c>
      <c r="J3" s="42" t="s">
        <v>333</v>
      </c>
      <c r="K3" s="42"/>
      <c r="L3" s="42"/>
      <c r="M3" s="76" t="str">
        <f t="shared" si="0"/>
        <v>High Allocation</v>
      </c>
    </row>
    <row r="4" spans="1:13" ht="13.5" customHeight="1" x14ac:dyDescent="0.25">
      <c r="A4" s="116" t="s">
        <v>445</v>
      </c>
      <c r="B4" s="116" t="s">
        <v>446</v>
      </c>
      <c r="C4" s="116" t="s">
        <v>447</v>
      </c>
      <c r="D4" s="42" t="s">
        <v>332</v>
      </c>
      <c r="E4" s="44">
        <v>1</v>
      </c>
      <c r="F4" s="43">
        <v>45823</v>
      </c>
      <c r="G4" s="43">
        <v>46142</v>
      </c>
      <c r="H4" s="42" t="s">
        <v>226</v>
      </c>
      <c r="I4" s="42" t="s">
        <v>158</v>
      </c>
      <c r="J4" s="42" t="s">
        <v>330</v>
      </c>
      <c r="K4" s="42"/>
      <c r="L4" s="42"/>
      <c r="M4" s="76" t="str">
        <f t="shared" si="0"/>
        <v>High Allocation</v>
      </c>
    </row>
    <row r="5" spans="1:13" ht="13.5" customHeight="1" x14ac:dyDescent="0.25">
      <c r="A5" s="116" t="s">
        <v>448</v>
      </c>
      <c r="B5" s="116" t="s">
        <v>449</v>
      </c>
      <c r="C5" s="116" t="s">
        <v>450</v>
      </c>
      <c r="D5" s="42" t="s">
        <v>332</v>
      </c>
      <c r="E5" s="44">
        <v>1</v>
      </c>
      <c r="F5" s="43">
        <v>45823</v>
      </c>
      <c r="G5" s="43">
        <v>46006</v>
      </c>
      <c r="H5" s="42" t="s">
        <v>226</v>
      </c>
      <c r="I5" s="42" t="s">
        <v>158</v>
      </c>
      <c r="J5" s="42" t="s">
        <v>277</v>
      </c>
      <c r="K5" s="42"/>
      <c r="L5" s="42"/>
      <c r="M5" s="76" t="str">
        <f t="shared" si="0"/>
        <v>High Allocation</v>
      </c>
    </row>
    <row r="6" spans="1:13" ht="13.5" customHeight="1" x14ac:dyDescent="0.25">
      <c r="A6" s="116" t="s">
        <v>451</v>
      </c>
      <c r="B6" s="116" t="s">
        <v>452</v>
      </c>
      <c r="C6" s="116" t="s">
        <v>453</v>
      </c>
      <c r="D6" s="42" t="s">
        <v>475</v>
      </c>
      <c r="E6" s="44">
        <v>1</v>
      </c>
      <c r="F6" s="43">
        <v>45823</v>
      </c>
      <c r="G6" s="43">
        <v>46142</v>
      </c>
      <c r="H6" s="42" t="s">
        <v>226</v>
      </c>
      <c r="I6" s="42" t="s">
        <v>14</v>
      </c>
      <c r="J6" s="42" t="s">
        <v>277</v>
      </c>
      <c r="K6" s="42"/>
      <c r="L6" s="42"/>
      <c r="M6" s="76" t="str">
        <f t="shared" si="0"/>
        <v>High Allocation</v>
      </c>
    </row>
    <row r="7" spans="1:13" ht="13.5" customHeight="1" x14ac:dyDescent="0.25">
      <c r="A7" s="116" t="s">
        <v>454</v>
      </c>
      <c r="B7" s="116" t="s">
        <v>455</v>
      </c>
      <c r="C7" s="116" t="s">
        <v>456</v>
      </c>
      <c r="D7" s="42" t="s">
        <v>332</v>
      </c>
      <c r="E7" s="44">
        <v>1</v>
      </c>
      <c r="F7" s="43">
        <v>45823</v>
      </c>
      <c r="G7" s="43">
        <v>46142</v>
      </c>
      <c r="H7" s="42" t="s">
        <v>226</v>
      </c>
      <c r="I7" s="42" t="s">
        <v>160</v>
      </c>
      <c r="J7" s="42" t="s">
        <v>277</v>
      </c>
      <c r="K7" s="42"/>
      <c r="L7" s="42"/>
      <c r="M7" s="76" t="str">
        <f t="shared" si="0"/>
        <v>High Allocation</v>
      </c>
    </row>
    <row r="8" spans="1:13" ht="13.5" customHeight="1" x14ac:dyDescent="0.25">
      <c r="A8" s="116" t="s">
        <v>457</v>
      </c>
      <c r="B8" s="116" t="s">
        <v>458</v>
      </c>
      <c r="C8" s="116" t="s">
        <v>459</v>
      </c>
      <c r="D8" s="42" t="s">
        <v>332</v>
      </c>
      <c r="E8" s="44">
        <v>1</v>
      </c>
      <c r="F8" s="43">
        <v>45823</v>
      </c>
      <c r="G8" s="43">
        <v>46142</v>
      </c>
      <c r="H8" s="42" t="s">
        <v>226</v>
      </c>
      <c r="I8" s="42" t="s">
        <v>160</v>
      </c>
      <c r="J8" s="42" t="s">
        <v>277</v>
      </c>
      <c r="K8" s="42"/>
      <c r="L8" s="42"/>
      <c r="M8" s="76" t="str">
        <f t="shared" si="0"/>
        <v>High Allocation</v>
      </c>
    </row>
    <row r="9" spans="1:13" ht="13.5" customHeight="1" x14ac:dyDescent="0.25">
      <c r="A9" s="116" t="s">
        <v>460</v>
      </c>
      <c r="B9" s="116" t="s">
        <v>461</v>
      </c>
      <c r="C9" s="116" t="s">
        <v>197</v>
      </c>
      <c r="D9" s="42" t="s">
        <v>329</v>
      </c>
      <c r="E9" s="44">
        <v>1</v>
      </c>
      <c r="F9" s="43">
        <v>45823</v>
      </c>
      <c r="G9" s="43">
        <v>46142</v>
      </c>
      <c r="H9" s="42" t="s">
        <v>226</v>
      </c>
      <c r="I9" s="42" t="s">
        <v>160</v>
      </c>
      <c r="J9" s="42" t="s">
        <v>482</v>
      </c>
      <c r="K9" s="42"/>
      <c r="L9" s="42"/>
      <c r="M9" s="76" t="str">
        <f t="shared" si="0"/>
        <v>High Allocation</v>
      </c>
    </row>
    <row r="10" spans="1:13" ht="13.5" customHeight="1" x14ac:dyDescent="0.25">
      <c r="A10" s="116" t="s">
        <v>462</v>
      </c>
      <c r="B10" s="116" t="s">
        <v>463</v>
      </c>
      <c r="C10" s="116" t="s">
        <v>246</v>
      </c>
      <c r="D10" s="42" t="s">
        <v>246</v>
      </c>
      <c r="E10" s="44">
        <v>1</v>
      </c>
      <c r="F10" s="43">
        <v>45823</v>
      </c>
      <c r="G10" s="43">
        <v>46142</v>
      </c>
      <c r="H10" s="42" t="s">
        <v>226</v>
      </c>
      <c r="I10" s="42" t="s">
        <v>160</v>
      </c>
      <c r="J10" s="42" t="s">
        <v>331</v>
      </c>
      <c r="K10" s="42"/>
      <c r="L10" s="42"/>
      <c r="M10" s="76" t="str">
        <f t="shared" si="0"/>
        <v>High Allocation</v>
      </c>
    </row>
    <row r="11" spans="1:13" ht="13.5" customHeight="1" x14ac:dyDescent="0.25">
      <c r="A11" s="116" t="s">
        <v>464</v>
      </c>
      <c r="B11" s="116" t="s">
        <v>342</v>
      </c>
      <c r="C11" s="116" t="s">
        <v>465</v>
      </c>
      <c r="D11" s="42" t="s">
        <v>476</v>
      </c>
      <c r="E11" s="44">
        <v>0.5</v>
      </c>
      <c r="F11" s="43">
        <v>45860</v>
      </c>
      <c r="G11" s="43">
        <v>46142</v>
      </c>
      <c r="H11" s="42" t="s">
        <v>226</v>
      </c>
      <c r="I11" s="42" t="s">
        <v>158</v>
      </c>
      <c r="J11" s="42" t="s">
        <v>479</v>
      </c>
      <c r="K11" s="42"/>
      <c r="L11" s="42"/>
      <c r="M11" s="76" t="str">
        <f t="shared" si="0"/>
        <v>Planned</v>
      </c>
    </row>
    <row r="12" spans="1:13" ht="13.5" customHeight="1" x14ac:dyDescent="0.25">
      <c r="A12" s="116" t="s">
        <v>466</v>
      </c>
      <c r="B12" s="116" t="s">
        <v>477</v>
      </c>
      <c r="C12" s="116" t="s">
        <v>467</v>
      </c>
      <c r="D12" s="42" t="s">
        <v>195</v>
      </c>
      <c r="E12" s="44">
        <v>0.25</v>
      </c>
      <c r="F12" s="43">
        <v>45922</v>
      </c>
      <c r="G12" s="43">
        <v>46234</v>
      </c>
      <c r="H12" s="42" t="s">
        <v>226</v>
      </c>
      <c r="I12" s="42" t="s">
        <v>14</v>
      </c>
      <c r="J12" s="42" t="s">
        <v>481</v>
      </c>
      <c r="K12" s="42"/>
      <c r="L12" s="42"/>
      <c r="M12" s="76" t="str">
        <f t="shared" si="0"/>
        <v>Planned</v>
      </c>
    </row>
    <row r="13" spans="1:13" ht="13.5" customHeight="1" x14ac:dyDescent="0.25">
      <c r="A13" s="116" t="s">
        <v>468</v>
      </c>
      <c r="B13" s="116" t="s">
        <v>278</v>
      </c>
      <c r="C13" s="116" t="s">
        <v>246</v>
      </c>
      <c r="D13" s="42" t="s">
        <v>246</v>
      </c>
      <c r="E13" s="44">
        <v>0.5</v>
      </c>
      <c r="F13" s="43">
        <v>45889</v>
      </c>
      <c r="G13" s="43">
        <v>46006</v>
      </c>
      <c r="H13" s="42" t="s">
        <v>242</v>
      </c>
      <c r="I13" s="42" t="s">
        <v>14</v>
      </c>
      <c r="J13" s="42" t="s">
        <v>331</v>
      </c>
      <c r="K13" s="42"/>
      <c r="L13" s="42"/>
      <c r="M13" s="76" t="str">
        <f t="shared" si="0"/>
        <v>Planned</v>
      </c>
    </row>
    <row r="14" spans="1:13" ht="13.5" customHeight="1" x14ac:dyDescent="0.25">
      <c r="A14" s="116" t="s">
        <v>469</v>
      </c>
      <c r="B14" s="116" t="s">
        <v>470</v>
      </c>
      <c r="C14" s="116" t="s">
        <v>471</v>
      </c>
      <c r="D14" s="81" t="s">
        <v>332</v>
      </c>
      <c r="E14" s="82">
        <v>0.5</v>
      </c>
      <c r="F14" s="43">
        <v>45845</v>
      </c>
      <c r="G14" s="43" t="s">
        <v>480</v>
      </c>
      <c r="H14" s="81" t="s">
        <v>242</v>
      </c>
      <c r="I14" s="81" t="s">
        <v>14</v>
      </c>
      <c r="J14" s="42" t="s">
        <v>277</v>
      </c>
      <c r="K14" s="81"/>
      <c r="L14" s="81"/>
      <c r="M14" s="84" t="str">
        <f t="shared" si="0"/>
        <v>Planned</v>
      </c>
    </row>
    <row r="15" spans="1:13" ht="12.75" customHeight="1" x14ac:dyDescent="0.25">
      <c r="A15" s="116" t="s">
        <v>472</v>
      </c>
      <c r="B15" s="116" t="s">
        <v>473</v>
      </c>
      <c r="C15" s="116" t="s">
        <v>474</v>
      </c>
      <c r="D15" s="42" t="s">
        <v>332</v>
      </c>
      <c r="E15" s="44">
        <v>1</v>
      </c>
      <c r="F15" s="43">
        <v>45823</v>
      </c>
      <c r="G15" s="43">
        <v>46142</v>
      </c>
      <c r="H15" s="42" t="s">
        <v>226</v>
      </c>
      <c r="I15" s="42" t="s">
        <v>14</v>
      </c>
      <c r="J15" s="42" t="s">
        <v>333</v>
      </c>
      <c r="K15" s="42"/>
      <c r="L15" s="42"/>
      <c r="M15" s="84" t="str">
        <f t="shared" si="0"/>
        <v>High Allocation</v>
      </c>
    </row>
  </sheetData>
  <conditionalFormatting sqref="E2:E15">
    <cfRule type="cellIs" dxfId="1" priority="2" operator="greaterThan">
      <formula>1</formula>
    </cfRule>
    <cfRule type="cellIs" dxfId="0" priority="3" operator="between">
      <formula>0.8</formula>
      <formula>1</formula>
    </cfRule>
  </conditionalFormatting>
  <dataValidations count="2">
    <dataValidation type="list" operator="equal" allowBlank="1" sqref="H2:H15" xr:uid="{00000000-0002-0000-0A00-000000000000}">
      <formula1>ResourceStatus</formula1>
      <formula2>0</formula2>
    </dataValidation>
    <dataValidation type="list" operator="equal" allowBlank="1" sqref="I2:I15" xr:uid="{00000000-0002-0000-0A00-000001000000}">
      <formula1>Criticality</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Normal="100" zoomScalePageLayoutView="60" workbookViewId="0">
      <selection activeCell="C6" sqref="C6"/>
    </sheetView>
  </sheetViews>
  <sheetFormatPr defaultColWidth="8.7265625" defaultRowHeight="12.75" customHeight="1" x14ac:dyDescent="0.25"/>
  <cols>
    <col min="1" max="1" width="16.26953125" customWidth="1"/>
    <col min="2" max="2" width="14.7265625" customWidth="1"/>
    <col min="3" max="3" width="24" customWidth="1"/>
    <col min="4" max="4" width="21.453125" customWidth="1"/>
    <col min="5" max="6" width="14" customWidth="1"/>
    <col min="7" max="7" width="17.26953125" customWidth="1"/>
    <col min="8" max="8" width="22" customWidth="1"/>
    <col min="9" max="9" width="15.453125" customWidth="1"/>
    <col min="10" max="10" width="14" customWidth="1"/>
    <col min="11" max="11" width="28" customWidth="1"/>
  </cols>
  <sheetData>
    <row r="1" spans="1:11" ht="24" customHeight="1" x14ac:dyDescent="0.3">
      <c r="A1" s="101" t="s">
        <v>334</v>
      </c>
      <c r="B1" s="78" t="s">
        <v>335</v>
      </c>
      <c r="C1" s="78" t="s">
        <v>322</v>
      </c>
      <c r="D1" s="78" t="s">
        <v>336</v>
      </c>
      <c r="E1" s="78" t="s">
        <v>6</v>
      </c>
      <c r="F1" s="78" t="s">
        <v>325</v>
      </c>
      <c r="G1" s="78" t="s">
        <v>337</v>
      </c>
      <c r="H1" s="78" t="s">
        <v>338</v>
      </c>
      <c r="I1" s="78" t="s">
        <v>339</v>
      </c>
      <c r="J1" s="78" t="s">
        <v>81</v>
      </c>
      <c r="K1" s="79" t="s">
        <v>129</v>
      </c>
    </row>
    <row r="2" spans="1:11" ht="13.5" customHeight="1" x14ac:dyDescent="0.25">
      <c r="A2" s="75" t="str">
        <f t="shared" ref="A2:A11" si="0">IF(COUNTA($B2:$K2)=0,"","RAV-"&amp;TEXT(ROW()-1,"000"))</f>
        <v/>
      </c>
      <c r="B2" s="42"/>
      <c r="C2" s="42"/>
      <c r="D2" s="42"/>
      <c r="E2" s="103"/>
      <c r="F2" s="103"/>
      <c r="G2" s="38"/>
      <c r="H2" s="42"/>
      <c r="I2" s="42"/>
      <c r="J2" s="42"/>
      <c r="K2" s="85"/>
    </row>
    <row r="3" spans="1:11" ht="13.5" customHeight="1" x14ac:dyDescent="0.25">
      <c r="A3" s="75" t="str">
        <f t="shared" si="0"/>
        <v/>
      </c>
      <c r="B3" s="42"/>
      <c r="C3" s="42"/>
      <c r="D3" s="42"/>
      <c r="E3" s="103"/>
      <c r="F3" s="103"/>
      <c r="G3" s="38"/>
      <c r="H3" s="42"/>
      <c r="I3" s="42"/>
      <c r="J3" s="42"/>
      <c r="K3" s="85"/>
    </row>
    <row r="4" spans="1:11" ht="13.5" customHeight="1" x14ac:dyDescent="0.25">
      <c r="A4" s="75" t="str">
        <f t="shared" si="0"/>
        <v/>
      </c>
      <c r="B4" s="42"/>
      <c r="C4" s="42"/>
      <c r="D4" s="42"/>
      <c r="E4" s="103"/>
      <c r="F4" s="103"/>
      <c r="G4" s="38"/>
      <c r="H4" s="42"/>
      <c r="I4" s="42"/>
      <c r="J4" s="42"/>
      <c r="K4" s="85"/>
    </row>
    <row r="5" spans="1:11" ht="13.5" customHeight="1" x14ac:dyDescent="0.25">
      <c r="A5" s="75" t="str">
        <f t="shared" si="0"/>
        <v/>
      </c>
      <c r="B5" s="42"/>
      <c r="C5" s="42"/>
      <c r="D5" s="42"/>
      <c r="E5" s="103"/>
      <c r="F5" s="103"/>
      <c r="G5" s="38"/>
      <c r="H5" s="42"/>
      <c r="I5" s="42"/>
      <c r="J5" s="42"/>
      <c r="K5" s="85"/>
    </row>
    <row r="6" spans="1:11" ht="13.5" customHeight="1" x14ac:dyDescent="0.25">
      <c r="A6" s="75" t="str">
        <f t="shared" si="0"/>
        <v/>
      </c>
      <c r="B6" s="42"/>
      <c r="C6" s="42"/>
      <c r="D6" s="42"/>
      <c r="E6" s="103"/>
      <c r="F6" s="103"/>
      <c r="G6" s="38"/>
      <c r="H6" s="42"/>
      <c r="I6" s="42"/>
      <c r="J6" s="42"/>
      <c r="K6" s="85"/>
    </row>
    <row r="7" spans="1:11" ht="13.5" customHeight="1" x14ac:dyDescent="0.25">
      <c r="A7" s="75" t="str">
        <f t="shared" si="0"/>
        <v/>
      </c>
      <c r="B7" s="42"/>
      <c r="C7" s="42"/>
      <c r="D7" s="42"/>
      <c r="E7" s="103"/>
      <c r="F7" s="103"/>
      <c r="G7" s="38"/>
      <c r="H7" s="42"/>
      <c r="I7" s="42"/>
      <c r="J7" s="42"/>
      <c r="K7" s="85"/>
    </row>
    <row r="8" spans="1:11" ht="13.5" customHeight="1" x14ac:dyDescent="0.25">
      <c r="A8" s="75" t="str">
        <f t="shared" si="0"/>
        <v/>
      </c>
      <c r="B8" s="42"/>
      <c r="C8" s="42"/>
      <c r="D8" s="42"/>
      <c r="E8" s="103"/>
      <c r="F8" s="103"/>
      <c r="G8" s="38"/>
      <c r="H8" s="42"/>
      <c r="I8" s="42"/>
      <c r="J8" s="42"/>
      <c r="K8" s="85"/>
    </row>
    <row r="9" spans="1:11" ht="13.5" customHeight="1" x14ac:dyDescent="0.25">
      <c r="A9" s="75" t="str">
        <f t="shared" si="0"/>
        <v/>
      </c>
      <c r="B9" s="42"/>
      <c r="C9" s="42"/>
      <c r="D9" s="42"/>
      <c r="E9" s="103"/>
      <c r="F9" s="103"/>
      <c r="G9" s="38"/>
      <c r="H9" s="42"/>
      <c r="I9" s="42"/>
      <c r="J9" s="42"/>
      <c r="K9" s="85"/>
    </row>
    <row r="10" spans="1:11" ht="13.5" customHeight="1" x14ac:dyDescent="0.25">
      <c r="A10" s="75" t="str">
        <f t="shared" si="0"/>
        <v/>
      </c>
      <c r="B10" s="42"/>
      <c r="C10" s="42"/>
      <c r="D10" s="42"/>
      <c r="E10" s="103"/>
      <c r="F10" s="103"/>
      <c r="G10" s="38"/>
      <c r="H10" s="42"/>
      <c r="I10" s="42"/>
      <c r="J10" s="42"/>
      <c r="K10" s="85"/>
    </row>
    <row r="11" spans="1:11" ht="13.5" customHeight="1" x14ac:dyDescent="0.25">
      <c r="A11" s="80" t="str">
        <f t="shared" si="0"/>
        <v/>
      </c>
      <c r="B11" s="81"/>
      <c r="C11" s="42"/>
      <c r="D11" s="42"/>
      <c r="E11" s="103"/>
      <c r="F11" s="103"/>
      <c r="G11" s="38"/>
      <c r="H11" s="42"/>
      <c r="I11" s="42"/>
      <c r="J11" s="42"/>
      <c r="K11" s="86"/>
    </row>
    <row r="12" spans="1:11" ht="12.75" customHeight="1" x14ac:dyDescent="0.25">
      <c r="A12" s="75" t="str">
        <f t="shared" ref="A12:A23" si="1">IF(COUNTA($B12:$K12)=0,"","RAV-"&amp;TEXT(ROW()-1,"000"))</f>
        <v/>
      </c>
      <c r="B12" s="42"/>
      <c r="C12" s="42"/>
      <c r="D12" s="42"/>
      <c r="E12" s="103"/>
      <c r="F12" s="103"/>
      <c r="G12" s="38"/>
      <c r="H12" s="42"/>
      <c r="I12" s="42"/>
      <c r="J12" s="42"/>
      <c r="K12" s="86"/>
    </row>
    <row r="13" spans="1:11" ht="12.75" customHeight="1" x14ac:dyDescent="0.25">
      <c r="A13" s="75" t="str">
        <f t="shared" si="1"/>
        <v/>
      </c>
      <c r="B13" s="42"/>
      <c r="C13" s="42"/>
      <c r="D13" s="42"/>
      <c r="E13" s="103"/>
      <c r="F13" s="103"/>
      <c r="G13" s="38"/>
      <c r="H13" s="42"/>
      <c r="I13" s="42"/>
      <c r="J13" s="42"/>
      <c r="K13" s="86"/>
    </row>
    <row r="14" spans="1:11" ht="12.75" customHeight="1" x14ac:dyDescent="0.25">
      <c r="A14" s="75" t="str">
        <f t="shared" si="1"/>
        <v/>
      </c>
      <c r="B14" s="42"/>
      <c r="C14" s="42"/>
      <c r="D14" s="42"/>
      <c r="E14" s="103"/>
      <c r="F14" s="103"/>
      <c r="G14" s="38"/>
      <c r="H14" s="42"/>
      <c r="I14" s="42"/>
      <c r="J14" s="42"/>
      <c r="K14" s="86"/>
    </row>
    <row r="15" spans="1:11" ht="12.75" customHeight="1" x14ac:dyDescent="0.25">
      <c r="A15" s="75" t="str">
        <f t="shared" si="1"/>
        <v/>
      </c>
      <c r="B15" s="42"/>
      <c r="C15" s="42"/>
      <c r="D15" s="42"/>
      <c r="E15" s="103"/>
      <c r="F15" s="103"/>
      <c r="G15" s="38"/>
      <c r="H15" s="42"/>
      <c r="I15" s="42"/>
      <c r="J15" s="42"/>
      <c r="K15" s="86"/>
    </row>
    <row r="16" spans="1:11" ht="12.75" customHeight="1" x14ac:dyDescent="0.25">
      <c r="A16" s="75" t="str">
        <f t="shared" si="1"/>
        <v/>
      </c>
      <c r="B16" s="42"/>
      <c r="C16" s="42"/>
      <c r="D16" s="42"/>
      <c r="E16" s="103"/>
      <c r="F16" s="103"/>
      <c r="G16" s="38"/>
      <c r="H16" s="42"/>
      <c r="I16" s="42"/>
      <c r="J16" s="42"/>
      <c r="K16" s="86"/>
    </row>
    <row r="17" spans="1:11" ht="12.75" customHeight="1" x14ac:dyDescent="0.25">
      <c r="A17" s="75" t="str">
        <f t="shared" si="1"/>
        <v/>
      </c>
      <c r="B17" s="42"/>
      <c r="C17" s="42"/>
      <c r="D17" s="42"/>
      <c r="E17" s="103"/>
      <c r="F17" s="103"/>
      <c r="G17" s="38"/>
      <c r="H17" s="42"/>
      <c r="I17" s="42"/>
      <c r="J17" s="42"/>
      <c r="K17" s="86"/>
    </row>
    <row r="18" spans="1:11" ht="12.75" customHeight="1" x14ac:dyDescent="0.25">
      <c r="A18" s="75" t="str">
        <f t="shared" si="1"/>
        <v/>
      </c>
      <c r="B18" s="42"/>
      <c r="C18" s="42"/>
      <c r="D18" s="42"/>
      <c r="E18" s="103"/>
      <c r="F18" s="103"/>
      <c r="G18" s="38"/>
      <c r="H18" s="42"/>
      <c r="I18" s="42"/>
      <c r="J18" s="42"/>
      <c r="K18" s="86"/>
    </row>
    <row r="19" spans="1:11" ht="12.75" customHeight="1" x14ac:dyDescent="0.25">
      <c r="A19" s="75" t="str">
        <f t="shared" si="1"/>
        <v/>
      </c>
      <c r="B19" s="42"/>
      <c r="C19" s="42"/>
      <c r="D19" s="42"/>
      <c r="E19" s="103"/>
      <c r="F19" s="103"/>
      <c r="G19" s="38"/>
      <c r="H19" s="42"/>
      <c r="I19" s="42"/>
      <c r="J19" s="42"/>
      <c r="K19" s="86"/>
    </row>
    <row r="20" spans="1:11" ht="12.75" customHeight="1" x14ac:dyDescent="0.25">
      <c r="A20" s="75" t="str">
        <f t="shared" si="1"/>
        <v/>
      </c>
      <c r="B20" s="42"/>
      <c r="C20" s="42"/>
      <c r="D20" s="42"/>
      <c r="E20" s="103"/>
      <c r="F20" s="103"/>
      <c r="G20" s="38"/>
      <c r="H20" s="42"/>
      <c r="I20" s="42"/>
      <c r="J20" s="42"/>
      <c r="K20" s="86"/>
    </row>
    <row r="21" spans="1:11" ht="12.75" customHeight="1" x14ac:dyDescent="0.25">
      <c r="A21" s="75" t="str">
        <f t="shared" si="1"/>
        <v/>
      </c>
      <c r="B21" s="42"/>
      <c r="C21" s="42"/>
      <c r="D21" s="42"/>
      <c r="E21" s="103"/>
      <c r="F21" s="103"/>
      <c r="G21" s="38"/>
      <c r="H21" s="42"/>
      <c r="I21" s="42"/>
      <c r="J21" s="42"/>
      <c r="K21" s="86"/>
    </row>
    <row r="22" spans="1:11" ht="12.75" customHeight="1" x14ac:dyDescent="0.25">
      <c r="A22" s="75" t="str">
        <f t="shared" si="1"/>
        <v/>
      </c>
      <c r="B22" s="42"/>
      <c r="C22" s="42"/>
      <c r="D22" s="42"/>
      <c r="E22" s="103"/>
      <c r="F22" s="103"/>
      <c r="G22" s="38"/>
      <c r="H22" s="42"/>
      <c r="I22" s="42"/>
      <c r="J22" s="42"/>
      <c r="K22" s="86"/>
    </row>
    <row r="23" spans="1:11" ht="12.75" customHeight="1" x14ac:dyDescent="0.25">
      <c r="A23" s="75" t="str">
        <f t="shared" si="1"/>
        <v/>
      </c>
      <c r="B23" s="42"/>
      <c r="C23" s="42"/>
      <c r="D23" s="42"/>
      <c r="E23" s="103"/>
      <c r="F23" s="103"/>
      <c r="G23" s="38"/>
      <c r="H23" s="42"/>
      <c r="I23" s="42"/>
      <c r="J23" s="42"/>
      <c r="K23" s="86"/>
    </row>
    <row r="24" spans="1:11" ht="12.75" customHeight="1" x14ac:dyDescent="0.25">
      <c r="A24" s="75" t="str">
        <f t="shared" ref="A24:A28" si="2">IF(COUNTA($B24:$K24)=0,"","RAV-"&amp;TEXT(ROW()-1,"000"))</f>
        <v/>
      </c>
      <c r="B24" s="42"/>
      <c r="C24" s="42"/>
      <c r="D24" s="42"/>
      <c r="E24" s="103"/>
      <c r="F24" s="103"/>
      <c r="G24" s="38"/>
      <c r="H24" s="42"/>
      <c r="I24" s="42"/>
      <c r="J24" s="42"/>
      <c r="K24" s="85"/>
    </row>
    <row r="25" spans="1:11" ht="12.75" customHeight="1" x14ac:dyDescent="0.25">
      <c r="A25" s="75" t="str">
        <f t="shared" si="2"/>
        <v/>
      </c>
      <c r="B25" s="42"/>
      <c r="C25" s="42"/>
      <c r="D25" s="42"/>
      <c r="E25" s="103"/>
      <c r="F25" s="103"/>
      <c r="G25" s="38"/>
      <c r="H25" s="42"/>
      <c r="I25" s="42"/>
      <c r="J25" s="42"/>
      <c r="K25" s="85"/>
    </row>
    <row r="26" spans="1:11" ht="12.75" customHeight="1" x14ac:dyDescent="0.25">
      <c r="A26" s="75" t="str">
        <f t="shared" si="2"/>
        <v/>
      </c>
      <c r="B26" s="42"/>
      <c r="C26" s="42"/>
      <c r="D26" s="42"/>
      <c r="E26" s="103"/>
      <c r="F26" s="103"/>
      <c r="G26" s="38"/>
      <c r="H26" s="42"/>
      <c r="I26" s="42"/>
      <c r="J26" s="42"/>
      <c r="K26" s="85"/>
    </row>
    <row r="27" spans="1:11" ht="12.75" customHeight="1" x14ac:dyDescent="0.25">
      <c r="A27" s="75" t="str">
        <f t="shared" si="2"/>
        <v/>
      </c>
      <c r="B27" s="42"/>
      <c r="C27" s="42"/>
      <c r="D27" s="42"/>
      <c r="E27" s="103"/>
      <c r="F27" s="103"/>
      <c r="G27" s="38"/>
      <c r="H27" s="42"/>
      <c r="I27" s="42"/>
      <c r="J27" s="42"/>
      <c r="K27" s="85"/>
    </row>
    <row r="28" spans="1:11" ht="12.75" customHeight="1" x14ac:dyDescent="0.25">
      <c r="A28" s="80" t="str">
        <f t="shared" si="2"/>
        <v/>
      </c>
      <c r="B28" s="81"/>
      <c r="C28" s="81"/>
      <c r="D28" s="81"/>
      <c r="E28" s="104"/>
      <c r="F28" s="104"/>
      <c r="G28" s="89"/>
      <c r="H28" s="81"/>
      <c r="I28" s="81"/>
      <c r="J28" s="81"/>
      <c r="K28" s="86"/>
    </row>
  </sheetData>
  <dataValidations count="3">
    <dataValidation type="list" operator="equal" allowBlank="1" sqref="D2:D28" xr:uid="{00000000-0002-0000-0C00-000000000000}">
      <formula1>"PTO,Sick Leave, Training, Office Visits, Other"</formula1>
    </dataValidation>
    <dataValidation type="list" operator="equal" allowBlank="1" sqref="I2:I28" xr:uid="{00000000-0002-0000-0C00-000001000000}">
      <formula1>ImpactLevel</formula1>
      <formula2>0</formula2>
    </dataValidation>
    <dataValidation type="list" operator="equal" allowBlank="1" sqref="J2:J28" xr:uid="{00000000-0002-0000-0C00-000002000000}">
      <formula1>AvailabilityStatus</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Project Cover Sheet</vt:lpstr>
      <vt:lpstr>Project Charter</vt:lpstr>
      <vt:lpstr>Project Plan</vt:lpstr>
      <vt:lpstr>Milestone Tracker</vt:lpstr>
      <vt:lpstr>RAID Log</vt:lpstr>
      <vt:lpstr>Risk Register</vt:lpstr>
      <vt:lpstr>Stakeholder Register</vt:lpstr>
      <vt:lpstr>PM_Lists</vt:lpstr>
      <vt:lpstr>Governance &amp; Cadences</vt:lpstr>
      <vt:lpstr>RACI Matrix</vt:lpstr>
      <vt:lpstr>Change Management Plan</vt:lpstr>
      <vt:lpstr>Resource Management Plan</vt:lpstr>
      <vt:lpstr>Resource Availability</vt:lpstr>
      <vt:lpstr>AvailabilityStatus</vt:lpstr>
      <vt:lpstr>CadenceType</vt:lpstr>
      <vt:lpstr>ChangeStatus</vt:lpstr>
      <vt:lpstr>Criticality</vt:lpstr>
      <vt:lpstr>Decision</vt:lpstr>
      <vt:lpstr>Frequency</vt:lpstr>
      <vt:lpstr>GenericStatus</vt:lpstr>
      <vt:lpstr>ImpactLevel</vt:lpstr>
      <vt:lpstr>'Project Cover Sheet'!Print_Area</vt:lpstr>
      <vt:lpstr>'Risk Register'!Print_Area</vt:lpstr>
      <vt:lpstr>'Risk Register'!Print_Titles</vt:lpstr>
      <vt:lpstr>Priority</vt:lpstr>
      <vt:lpstr>ResourceStatus</vt:lpstr>
      <vt:lpstr>UnavailabilityType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Suseela Nookala</cp:lastModifiedBy>
  <cp:revision>0</cp:revision>
  <dcterms:created xsi:type="dcterms:W3CDTF">2026-03-12T20:24:34Z</dcterms:created>
  <dcterms:modified xsi:type="dcterms:W3CDTF">2026-05-11T15:05:50Z</dcterms:modified>
  <cp:category/>
  <cp:contentStatus/>
</cp:coreProperties>
</file>